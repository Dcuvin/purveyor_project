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40" yWindow="760" windowWidth="27800" windowHeight="17480" tabRatio="600" firstSheet="0" activeTab="1" autoFilterDateGrouping="1"/>
  </bookViews>
  <sheets>
    <sheet xmlns:r="http://schemas.openxmlformats.org/officeDocument/2006/relationships" name="Weekly Info" sheetId="1" state="visible" r:id="rId1"/>
    <sheet xmlns:r="http://schemas.openxmlformats.org/officeDocument/2006/relationships" name="Event_PnL" sheetId="2" state="visible" r:id="rId2"/>
    <sheet xmlns:r="http://schemas.openxmlformats.org/officeDocument/2006/relationships" name="Weekly Summary" sheetId="3" state="visible" r:id="rId3"/>
    <sheet xmlns:r="http://schemas.openxmlformats.org/officeDocument/2006/relationships" name="Labor" sheetId="4" state="visible" r:id="rId4"/>
    <sheet xmlns:r="http://schemas.openxmlformats.org/officeDocument/2006/relationships" name="Invoices" sheetId="5" state="visible" r:id="rId5"/>
    <sheet xmlns:r="http://schemas.openxmlformats.org/officeDocument/2006/relationships" name="Chart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5">
    <font>
      <name val="Calibri"/>
      <family val="2"/>
      <color theme="1"/>
      <sz val="11"/>
      <scheme val="minor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theme="1"/>
      <sz val="14"/>
      <scheme val="minor"/>
    </font>
    <font>
      <name val="Arial"/>
      <family val="2"/>
      <color rgb="FF000000"/>
      <sz val="14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Helvetica"/>
      <family val="2"/>
      <color rgb="FF000000"/>
      <sz val="14"/>
    </font>
    <font>
      <name val="Calibri"/>
      <family val="2"/>
      <color rgb="FF000000"/>
      <sz val="14"/>
    </font>
    <font>
      <name val="Calibri (Body)"/>
      <color theme="1"/>
      <sz val="14"/>
    </font>
    <font>
      <name val="Calibri (Body)"/>
      <sz val="14"/>
    </font>
    <font>
      <name val="Calibri (Body)"/>
      <b val="1"/>
      <color theme="1"/>
      <sz val="16"/>
    </font>
    <font>
      <name val="Calibri (Body)"/>
      <b val="1"/>
      <sz val="16"/>
    </font>
    <font>
      <name val="Calibri (Body)"/>
      <color theme="1"/>
      <sz val="16"/>
    </font>
    <font>
      <name val="Calibri"/>
      <family val="2"/>
      <b val="1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horizontal="left"/>
    </xf>
    <xf numFmtId="14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center"/>
    </xf>
    <xf numFmtId="14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9" fillId="0" borderId="0" pivotButton="0" quotePrefix="0" xfId="0"/>
    <xf numFmtId="0" fontId="10" fillId="0" borderId="0" applyAlignment="1" pivotButton="0" quotePrefix="0" xfId="0">
      <alignment horizontal="left"/>
    </xf>
    <xf numFmtId="164" fontId="10" fillId="0" borderId="0" applyAlignment="1" pivotButton="0" quotePrefix="0" xfId="0">
      <alignment horizontal="right"/>
    </xf>
    <xf numFmtId="10" fontId="10" fillId="0" borderId="0" applyAlignment="1" pivotButton="0" quotePrefix="0" xfId="0">
      <alignment horizontal="right"/>
    </xf>
    <xf numFmtId="164" fontId="9" fillId="0" borderId="0" pivotButton="0" quotePrefix="0" xfId="0"/>
    <xf numFmtId="10" fontId="9" fillId="0" borderId="0" pivotButton="0" quotePrefix="0" xfId="0"/>
    <xf numFmtId="0" fontId="12" fillId="2" borderId="0" applyAlignment="1" pivotButton="0" quotePrefix="0" xfId="0">
      <alignment horizontal="left" vertical="center"/>
    </xf>
    <xf numFmtId="164" fontId="12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top"/>
    </xf>
    <xf numFmtId="4" fontId="12" fillId="2" borderId="0" applyAlignment="1" pivotButton="0" quotePrefix="0" xfId="0">
      <alignment horizontal="left" vertical="top"/>
    </xf>
    <xf numFmtId="0" fontId="13" fillId="2" borderId="0" applyAlignment="1" pivotButton="0" quotePrefix="0" xfId="0">
      <alignment horizontal="left" vertical="top"/>
    </xf>
    <xf numFmtId="164" fontId="12" fillId="2" borderId="0" applyAlignment="1" pivotButton="0" quotePrefix="0" xfId="0">
      <alignment horizontal="left" vertical="top"/>
    </xf>
    <xf numFmtId="0" fontId="11" fillId="2" borderId="0" applyAlignment="1" pivotButton="0" quotePrefix="0" xfId="0">
      <alignment vertical="center"/>
    </xf>
    <xf numFmtId="0" fontId="14" fillId="2" borderId="0" applyAlignment="1" pivotButton="0" quotePrefix="0" xfId="0">
      <alignment horizontal="center"/>
    </xf>
    <xf numFmtId="164" fontId="14" fillId="2" borderId="0" applyAlignment="1" pivotButton="0" quotePrefix="0" xfId="0">
      <alignment horizontal="center"/>
    </xf>
    <xf numFmtId="0" fontId="6" fillId="2" borderId="0" pivotButton="0" quotePrefix="0" xfId="0"/>
    <xf numFmtId="0" fontId="5" fillId="2" borderId="3" pivotButton="0" quotePrefix="0" xfId="0"/>
    <xf numFmtId="0" fontId="3" fillId="2" borderId="4" pivotButton="0" quotePrefix="0" xfId="0"/>
    <xf numFmtId="0" fontId="5" fillId="2" borderId="1" applyAlignment="1" pivotButton="0" quotePrefix="0" xfId="0">
      <alignment horizontal="left" vertical="center"/>
    </xf>
    <xf numFmtId="14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1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4" fontId="5" fillId="2" borderId="1" applyAlignment="1" pivotButton="0" quotePrefix="0" xfId="0">
      <alignment horizontal="left" vertical="center"/>
    </xf>
    <xf numFmtId="164" fontId="5" fillId="2" borderId="5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4" fontId="3" fillId="0" borderId="5" applyAlignment="1" pivotButton="0" quotePrefix="0" xfId="0">
      <alignment horizontal="right" vertical="center"/>
    </xf>
    <xf numFmtId="164" fontId="3" fillId="0" borderId="5" applyAlignment="1" pivotButton="0" quotePrefix="0" xfId="0">
      <alignment horizontal="left" vertical="center"/>
    </xf>
    <xf numFmtId="164" fontId="5" fillId="2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left" vertical="center"/>
    </xf>
    <xf numFmtId="164" fontId="3" fillId="0" borderId="2" applyAlignment="1" pivotButton="0" quotePrefix="0" xfId="0">
      <alignment horizontal="right" vertical="center"/>
    </xf>
    <xf numFmtId="164" fontId="3" fillId="3" borderId="4" applyAlignment="1" pivotButton="0" quotePrefix="0" xfId="0">
      <alignment horizontal="right" vertical="center"/>
    </xf>
    <xf numFmtId="164" fontId="5" fillId="2" borderId="2" applyAlignment="1" pivotButton="0" quotePrefix="0" xfId="0">
      <alignment horizontal="left" vertical="center"/>
    </xf>
    <xf numFmtId="164" fontId="3" fillId="0" borderId="2" applyAlignment="1" pivotButton="0" quotePrefix="0" xfId="0">
      <alignment horizontal="left" vertical="center"/>
    </xf>
    <xf numFmtId="164" fontId="5" fillId="2" borderId="4" applyAlignment="1" pivotButton="0" quotePrefix="0" xfId="0">
      <alignment horizontal="left" vertical="center"/>
    </xf>
    <xf numFmtId="164" fontId="3" fillId="0" borderId="4" applyAlignment="1" pivotButton="0" quotePrefix="0" xfId="0">
      <alignment horizontal="right" vertical="center"/>
    </xf>
    <xf numFmtId="14" fontId="6" fillId="0" borderId="1" pivotButton="0" quotePrefix="0" xfId="0"/>
    <xf numFmtId="0" fontId="6" fillId="0" borderId="1" pivotButton="0" quotePrefix="0" xfId="0"/>
    <xf numFmtId="0" fontId="0" fillId="4" borderId="1" applyAlignment="1" pivotButton="0" quotePrefix="0" xfId="0">
      <alignment horizontal="right"/>
    </xf>
    <xf numFmtId="164" fontId="3" fillId="3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David Cuvin</author>
  </authors>
  <commentList>
    <comment ref="A19" authorId="0" shapeId="0">
      <text>
        <t xml:space="preserve">David Cuvin:
Currently unknow, so defaulting to 22% of Beverage Revenue
</t>
      </text>
    </comment>
  </commentList>
</comments>
</file>

<file path=xl/comments/comment2.xml><?xml version="1.0" encoding="utf-8"?>
<comments xmlns="http://schemas.openxmlformats.org/spreadsheetml/2006/main">
  <authors>
    <author>David Cuvin</author>
  </authors>
  <commentList>
    <comment ref="A2" authorId="0" shapeId="0">
      <text>
        <t>David Cuvin:
Total revenue before costs</t>
      </text>
    </comment>
  </commentList>
</comments>
</file>

<file path=xl/comments/comment3.xml><?xml version="1.0" encoding="utf-8"?>
<comments xmlns="http://schemas.openxmlformats.org/spreadsheetml/2006/main">
  <authors>
    <author>David Cuvin</author>
  </authors>
  <commentList>
    <comment ref="C1" authorId="0" shapeId="0">
      <text>
        <t xml:space="preserve">David Cuvin:
labor cost for the day of the event
</t>
      </text>
    </comment>
    <comment ref="E1" authorId="0" shapeId="0">
      <text>
        <t>David Cuvin:
total weekly labor required (prep, set-up, etc.)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8572500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8572500" cy="857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8572500" cy="857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</row>
      <rowOff>0</rowOff>
    </from>
    <ext cx="8572500" cy="857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8572500" cy="857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8572500" cy="857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C20" sqref="C20"/>
    </sheetView>
  </sheetViews>
  <sheetFormatPr baseColWidth="10" defaultRowHeight="15" outlineLevelCol="0"/>
  <cols>
    <col width="44.5" customWidth="1" min="1" max="1"/>
    <col width="19.6640625" customWidth="1" min="2" max="2"/>
  </cols>
  <sheetData>
    <row r="1" ht="21" customHeight="1">
      <c r="A1" s="46" t="inlineStr">
        <is>
          <t>week_start</t>
        </is>
      </c>
      <c r="B1" s="59" t="n"/>
    </row>
    <row r="2" ht="21" customHeight="1">
      <c r="A2" s="32" t="inlineStr">
        <is>
          <t>week_end</t>
        </is>
      </c>
      <c r="B2" s="59" t="n"/>
    </row>
    <row r="3" ht="21" customHeight="1">
      <c r="A3" s="32" t="inlineStr">
        <is>
          <t>number_of_paid_events</t>
        </is>
      </c>
      <c r="B3" s="60" t="n"/>
    </row>
    <row r="4" ht="21" customHeight="1">
      <c r="A4" s="32" t="inlineStr">
        <is>
          <t>total_guests</t>
        </is>
      </c>
      <c r="B4" s="6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tabSelected="1" workbookViewId="0">
      <selection activeCell="C18" sqref="C18"/>
    </sheetView>
  </sheetViews>
  <sheetFormatPr baseColWidth="10" defaultRowHeight="21" outlineLevelCol="0"/>
  <cols>
    <col width="35.83203125" customWidth="1" style="3" min="1" max="1"/>
    <col width="38.6640625" customWidth="1" style="45" min="2" max="2"/>
    <col width="36.1640625" customWidth="1" style="45" min="3" max="3"/>
    <col width="30.5" customWidth="1" style="45" min="4" max="4"/>
    <col width="10.83203125" customWidth="1" style="45" min="5" max="10"/>
  </cols>
  <sheetData>
    <row r="1" customFormat="1" s="33">
      <c r="A1" s="46" t="inlineStr">
        <is>
          <t>event_date</t>
        </is>
      </c>
      <c r="B1" s="39" t="inlineStr">
        <is>
          <t>03-07-2026</t>
        </is>
      </c>
      <c r="C1" s="39" t="inlineStr">
        <is>
          <t>03-05-2026</t>
        </is>
      </c>
      <c r="D1" s="39" t="inlineStr">
        <is>
          <t>03-07-2026</t>
        </is>
      </c>
      <c r="E1" s="39" t="n"/>
      <c r="F1" s="39" t="n"/>
      <c r="G1" s="39" t="n"/>
      <c r="H1" s="39" t="n"/>
      <c r="I1" s="39" t="n"/>
      <c r="J1" s="39" t="n"/>
    </row>
    <row r="2" customFormat="1" s="34">
      <c r="A2" s="32" t="inlineStr">
        <is>
          <t>event_name</t>
        </is>
      </c>
      <c r="B2" s="40" t="inlineStr">
        <is>
          <t>One for Democracy</t>
        </is>
      </c>
      <c r="C2" s="40" t="inlineStr">
        <is>
          <t>Marble Collective</t>
        </is>
      </c>
      <c r="D2" s="40" t="inlineStr">
        <is>
          <t>Emma &amp; Jake</t>
        </is>
      </c>
      <c r="E2" s="40" t="n"/>
      <c r="F2" s="40" t="n"/>
      <c r="G2" s="40" t="n"/>
      <c r="H2" s="40" t="n"/>
      <c r="I2" s="40" t="n"/>
      <c r="J2" s="40" t="n"/>
    </row>
    <row r="3" customFormat="1" s="34">
      <c r="A3" s="32" t="inlineStr">
        <is>
          <t>event_type</t>
        </is>
      </c>
      <c r="B3" s="40" t="inlineStr">
        <is>
          <t>Panel</t>
        </is>
      </c>
      <c r="C3" s="40" t="inlineStr">
        <is>
          <t>Cocktail Reception / Crudite &amp; Mezze</t>
        </is>
      </c>
      <c r="D3" s="40" t="inlineStr">
        <is>
          <t>Engagement Party/ canapes, small plates, station</t>
        </is>
      </c>
      <c r="E3" s="40" t="n"/>
      <c r="F3" s="40" t="n"/>
      <c r="G3" s="40" t="n"/>
      <c r="H3" s="40" t="n"/>
      <c r="I3" s="40" t="n"/>
      <c r="J3" s="40" t="n"/>
    </row>
    <row r="4" customFormat="1" s="36">
      <c r="A4" s="35" t="inlineStr">
        <is>
          <t>guest_count</t>
        </is>
      </c>
      <c r="B4" s="41" t="n">
        <v>50</v>
      </c>
      <c r="C4" s="41" t="n">
        <v>65</v>
      </c>
      <c r="D4" s="41" t="n">
        <v>125</v>
      </c>
      <c r="E4" s="41" t="n"/>
      <c r="F4" s="41" t="n"/>
      <c r="G4" s="41" t="n"/>
      <c r="H4" s="41" t="n"/>
      <c r="I4" s="41" t="n"/>
      <c r="J4" s="41" t="n"/>
    </row>
    <row r="5" customFormat="1" s="38">
      <c r="A5" s="37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</row>
    <row r="6" customFormat="1" s="50">
      <c r="A6" s="47" t="inlineStr">
        <is>
          <t>space_fee</t>
        </is>
      </c>
      <c r="B6" s="48" t="n">
        <v>0</v>
      </c>
      <c r="C6" s="48" t="n">
        <v>3375</v>
      </c>
      <c r="D6" s="49" t="n">
        <v>5000</v>
      </c>
      <c r="E6" s="49" t="n"/>
      <c r="F6" s="49" t="n"/>
      <c r="G6" s="49" t="n"/>
      <c r="H6" s="49" t="n"/>
      <c r="I6" s="49" t="n"/>
      <c r="J6" s="49" t="n"/>
    </row>
    <row r="7" customFormat="1" s="52">
      <c r="A7" s="51" t="inlineStr">
        <is>
          <t>food_revenue</t>
        </is>
      </c>
      <c r="B7" s="48" t="n">
        <v>14990</v>
      </c>
      <c r="C7" s="48" t="n">
        <v>3770</v>
      </c>
      <c r="D7" s="48" t="n">
        <v>18750</v>
      </c>
      <c r="E7" s="48" t="n"/>
      <c r="F7" s="48" t="n"/>
      <c r="G7" s="48" t="n"/>
      <c r="H7" s="48" t="n"/>
      <c r="I7" s="48" t="n"/>
      <c r="J7" s="48" t="n"/>
    </row>
    <row r="8" customFormat="1" s="52">
      <c r="A8" s="51" t="inlineStr">
        <is>
          <t>beverage_revenue</t>
        </is>
      </c>
      <c r="B8" s="48" t="n">
        <v>2700</v>
      </c>
      <c r="C8" s="48" t="n">
        <v>1300</v>
      </c>
      <c r="D8" s="48" t="n">
        <v>18750</v>
      </c>
      <c r="E8" s="48" t="n"/>
      <c r="F8" s="48" t="n"/>
      <c r="G8" s="48" t="n"/>
      <c r="H8" s="48" t="n"/>
      <c r="I8" s="48" t="n"/>
      <c r="J8" s="48" t="n"/>
    </row>
    <row r="9" customFormat="1" s="52">
      <c r="A9" s="51" t="inlineStr">
        <is>
          <t>admin_fee</t>
        </is>
      </c>
      <c r="B9" s="48" t="n">
        <v>4068.7</v>
      </c>
      <c r="C9" s="48" t="n">
        <v>2018.25</v>
      </c>
      <c r="D9" s="48" t="n">
        <v>9775</v>
      </c>
      <c r="E9" s="48" t="n"/>
      <c r="F9" s="48" t="n"/>
      <c r="G9" s="48" t="n"/>
      <c r="H9" s="48" t="n"/>
      <c r="I9" s="48" t="n"/>
      <c r="J9" s="48" t="n"/>
    </row>
    <row r="10" customFormat="1" s="52">
      <c r="A10" s="51" t="inlineStr">
        <is>
          <t>sales_tax</t>
        </is>
      </c>
      <c r="B10" s="53" t="n">
        <v>1931.08</v>
      </c>
      <c r="C10" s="53" t="n">
        <v>957.9</v>
      </c>
      <c r="D10" s="48" t="n">
        <v>0</v>
      </c>
      <c r="E10" s="48" t="n"/>
      <c r="F10" s="48" t="n"/>
      <c r="G10" s="48" t="n"/>
      <c r="H10" s="48" t="n"/>
      <c r="I10" s="48" t="n"/>
      <c r="J10" s="48" t="n"/>
    </row>
    <row r="11" customFormat="1" s="52">
      <c r="A11" s="51" t="inlineStr">
        <is>
          <t>gross_revenue</t>
        </is>
      </c>
      <c r="B11" s="62" t="n">
        <v>23689.78</v>
      </c>
      <c r="C11" s="54" t="n">
        <v>11751.15</v>
      </c>
      <c r="D11" s="48" t="n">
        <v>52275</v>
      </c>
      <c r="E11" s="48" t="n"/>
      <c r="F11" s="48" t="n"/>
      <c r="G11" s="48" t="n"/>
      <c r="H11" s="48" t="n"/>
      <c r="I11" s="48" t="n"/>
      <c r="J11" s="48" t="n"/>
    </row>
    <row r="12" customFormat="1" s="56">
      <c r="A12" s="55" t="inlineStr">
        <is>
          <t>net_revenue</t>
        </is>
      </c>
      <c r="B12" s="49">
        <f>B11-B10</f>
        <v/>
      </c>
      <c r="C12" s="49">
        <f>C11-C10</f>
        <v/>
      </c>
      <c r="D12" s="53">
        <f>D11-D10</f>
        <v/>
      </c>
      <c r="E12" s="53" t="n"/>
      <c r="F12" s="53" t="n"/>
      <c r="G12" s="53" t="n"/>
      <c r="H12" s="53" t="n"/>
      <c r="I12" s="53" t="n"/>
      <c r="J12" s="53" t="n"/>
    </row>
    <row r="13" customFormat="1" s="38">
      <c r="A13" s="37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</row>
    <row r="14" customFormat="1" s="52">
      <c r="A14" s="57" t="inlineStr">
        <is>
          <t>additional_labor_cost</t>
        </is>
      </c>
      <c r="B14" s="58" t="n">
        <v>0</v>
      </c>
      <c r="C14" s="58" t="n">
        <v>330</v>
      </c>
      <c r="D14" s="48" t="n">
        <v>0</v>
      </c>
      <c r="E14" s="48" t="n"/>
      <c r="F14" s="48" t="n"/>
      <c r="G14" s="48" t="n"/>
      <c r="H14" s="48" t="n"/>
      <c r="I14" s="48" t="n"/>
      <c r="J14" s="48" t="n"/>
    </row>
    <row r="15" customFormat="1" s="52">
      <c r="A15" s="51" t="inlineStr">
        <is>
          <t>in_house_hourly_labor_cost</t>
        </is>
      </c>
      <c r="B15" s="49" t="n">
        <v>2874.75</v>
      </c>
      <c r="C15" s="49" t="n">
        <v>2873.2</v>
      </c>
      <c r="D15" s="48" t="n">
        <v>4370.08</v>
      </c>
      <c r="E15" s="48" t="n"/>
      <c r="F15" s="48" t="n"/>
      <c r="G15" s="48" t="n"/>
      <c r="H15" s="48" t="n"/>
      <c r="I15" s="48" t="n"/>
      <c r="J15" s="48" t="n"/>
    </row>
    <row r="16" customFormat="1" s="52">
      <c r="A16" s="51" t="inlineStr">
        <is>
          <t>outsourced_labor_cost</t>
        </is>
      </c>
      <c r="B16" s="48" t="n">
        <v>0</v>
      </c>
      <c r="C16" s="48" t="n">
        <v>0</v>
      </c>
      <c r="D16" s="48" t="n">
        <v>0</v>
      </c>
      <c r="E16" s="48" t="n"/>
      <c r="F16" s="48" t="n"/>
      <c r="G16" s="48" t="n"/>
      <c r="H16" s="48" t="n"/>
      <c r="I16" s="48" t="n"/>
      <c r="J16" s="48" t="n"/>
    </row>
    <row r="17" customFormat="1" s="52">
      <c r="A17" s="51" t="inlineStr">
        <is>
          <t>total_labor_cost</t>
        </is>
      </c>
      <c r="B17" s="49">
        <f>SUM(B14:B16)</f>
        <v/>
      </c>
      <c r="C17" s="49">
        <f>SUM(C14:C16)</f>
        <v/>
      </c>
      <c r="D17" s="48">
        <f>SUM(D14:D16)</f>
        <v/>
      </c>
      <c r="E17" s="48" t="n"/>
      <c r="F17" s="48" t="n"/>
      <c r="G17" s="48" t="n"/>
      <c r="H17" s="48" t="n"/>
      <c r="I17" s="48" t="n"/>
      <c r="J17" s="48" t="n"/>
    </row>
    <row r="18" customFormat="1" s="52">
      <c r="A18" s="51" t="inlineStr">
        <is>
          <t>approx_food_cost</t>
        </is>
      </c>
      <c r="B18" s="49" t="n">
        <v>1548.5</v>
      </c>
      <c r="C18" s="49" t="n">
        <v>637.0599999999999</v>
      </c>
      <c r="D18" s="48" t="n">
        <v>3008.56</v>
      </c>
      <c r="E18" s="48" t="n"/>
      <c r="F18" s="48" t="n"/>
      <c r="G18" s="48" t="n"/>
      <c r="H18" s="48" t="n"/>
      <c r="I18" s="48" t="n"/>
      <c r="J18" s="48" t="n"/>
    </row>
    <row r="19" customFormat="1" s="52">
      <c r="A19" s="51" t="inlineStr">
        <is>
          <t>approx_beverage_cost</t>
        </is>
      </c>
      <c r="B19" s="49">
        <f> 20% * B8</f>
        <v/>
      </c>
      <c r="C19" s="49">
        <f> 20% * C8</f>
        <v/>
      </c>
      <c r="D19" s="48">
        <f> 20% * D8</f>
        <v/>
      </c>
      <c r="E19" s="48" t="n"/>
      <c r="F19" s="48" t="n"/>
      <c r="G19" s="48" t="n"/>
      <c r="H19" s="48" t="n"/>
      <c r="I19" s="48" t="n"/>
      <c r="J19" s="48" t="n"/>
    </row>
    <row r="20" customFormat="1" s="52">
      <c r="A20" s="51" t="inlineStr">
        <is>
          <t>rentals</t>
        </is>
      </c>
      <c r="B20" s="48" t="n">
        <v>0</v>
      </c>
      <c r="C20" s="48" t="n">
        <v>0</v>
      </c>
      <c r="D20" s="48" t="n">
        <v>0</v>
      </c>
      <c r="E20" s="48" t="n"/>
      <c r="F20" s="48" t="n"/>
      <c r="G20" s="48" t="n"/>
      <c r="H20" s="48" t="n"/>
      <c r="I20" s="48" t="n"/>
      <c r="J20" s="48" t="n"/>
    </row>
    <row r="21" customFormat="1" s="56">
      <c r="A21" s="55" t="inlineStr">
        <is>
          <t>approx_operating_cost</t>
        </is>
      </c>
      <c r="B21" s="53">
        <f> SUM(B14:B20)</f>
        <v/>
      </c>
      <c r="C21" s="53">
        <f> SUM(C14:C20)</f>
        <v/>
      </c>
      <c r="D21" s="53">
        <f> SUM(D14:D20)</f>
        <v/>
      </c>
      <c r="E21" s="53" t="n"/>
      <c r="F21" s="53" t="n"/>
      <c r="G21" s="53" t="n"/>
      <c r="H21" s="53" t="n"/>
      <c r="I21" s="53" t="n"/>
      <c r="J21" s="53" t="n"/>
    </row>
    <row r="22" customFormat="1" s="38">
      <c r="A22" s="37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</row>
    <row r="23" customFormat="1" s="50">
      <c r="A23" s="47" t="inlineStr">
        <is>
          <t>operating_profit</t>
        </is>
      </c>
      <c r="B23" s="49">
        <f>B12-B21</f>
        <v/>
      </c>
      <c r="C23" s="49">
        <f>C12-C21</f>
        <v/>
      </c>
      <c r="D23" s="49">
        <f>D12-D21</f>
        <v/>
      </c>
      <c r="E23" s="49" t="n"/>
      <c r="F23" s="49" t="n"/>
      <c r="G23" s="49" t="n"/>
      <c r="H23" s="49" t="n"/>
      <c r="I23" s="49" t="n"/>
      <c r="J23" s="49" t="n"/>
    </row>
    <row r="24" customFormat="1" s="36">
      <c r="A24" s="35" t="inlineStr">
        <is>
          <t>margin_pct</t>
        </is>
      </c>
      <c r="B24" s="43">
        <f>B23/B12</f>
        <v/>
      </c>
      <c r="C24" s="43">
        <f>C23/C12</f>
        <v/>
      </c>
      <c r="D24" s="41">
        <f>D23/D12</f>
        <v/>
      </c>
      <c r="E24" s="41" t="n"/>
      <c r="F24" s="41" t="n"/>
      <c r="G24" s="41" t="n"/>
      <c r="H24" s="41" t="n"/>
      <c r="I24" s="41" t="n"/>
      <c r="J24" s="41" t="n"/>
    </row>
    <row r="25" customFormat="1" s="38">
      <c r="A25" s="37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</row>
    <row r="26" customFormat="1" s="50">
      <c r="A26" s="47" t="inlineStr">
        <is>
          <t>revenue_per_guest</t>
        </is>
      </c>
      <c r="B26" s="48">
        <f>B12/B4</f>
        <v/>
      </c>
      <c r="C26" s="48">
        <f>C12/C4</f>
        <v/>
      </c>
      <c r="D26" s="49">
        <f>D12/D4</f>
        <v/>
      </c>
      <c r="E26" s="49" t="n"/>
      <c r="F26" s="49" t="n"/>
      <c r="G26" s="49" t="n"/>
      <c r="H26" s="49" t="n"/>
      <c r="I26" s="49" t="n"/>
      <c r="J26" s="49" t="n"/>
    </row>
    <row r="27" customFormat="1" s="52">
      <c r="A27" s="51" t="inlineStr">
        <is>
          <t>food_and_bev_cost_per_guest</t>
        </is>
      </c>
      <c r="B27" s="48">
        <f>(B18 + B19) / B4</f>
        <v/>
      </c>
      <c r="C27" s="48">
        <f>(C18 + C19) / C4</f>
        <v/>
      </c>
      <c r="D27" s="48">
        <f>(D18 + D19) / D4</f>
        <v/>
      </c>
      <c r="E27" s="48" t="n"/>
      <c r="F27" s="48" t="n"/>
      <c r="G27" s="48" t="n"/>
      <c r="H27" s="48" t="n"/>
      <c r="I27" s="48" t="n"/>
      <c r="J27" s="48" t="n"/>
    </row>
    <row r="28" customFormat="1" s="52">
      <c r="A28" s="51" t="inlineStr">
        <is>
          <t>labor_cost_per_guest</t>
        </is>
      </c>
      <c r="B28" s="53">
        <f> SUM(B14:B16) / B4</f>
        <v/>
      </c>
      <c r="C28" s="53">
        <f> SUM(C14:C16) / C4</f>
        <v/>
      </c>
      <c r="D28" s="48">
        <f> SUM(D14:D16) / D4</f>
        <v/>
      </c>
      <c r="E28" s="48" t="n"/>
      <c r="F28" s="48" t="n"/>
      <c r="G28" s="48" t="n"/>
      <c r="H28" s="48" t="n"/>
      <c r="I28" s="48" t="n"/>
      <c r="J28" s="48" t="n"/>
    </row>
    <row r="29" customFormat="1" s="56">
      <c r="A29" s="55" t="inlineStr">
        <is>
          <t>profit_per_guest</t>
        </is>
      </c>
      <c r="B29" s="53">
        <f>B26-B27-B28</f>
        <v/>
      </c>
      <c r="C29" s="53">
        <f>C26-C27-C28</f>
        <v/>
      </c>
      <c r="D29" s="53">
        <f>D26-D27-D28</f>
        <v/>
      </c>
      <c r="E29" s="53" t="n"/>
      <c r="F29" s="53" t="n"/>
      <c r="G29" s="53" t="n"/>
      <c r="H29" s="53" t="n"/>
      <c r="I29" s="53" t="n"/>
      <c r="J29" s="53" t="n"/>
    </row>
    <row r="30" customFormat="1" s="31">
      <c r="A30" s="30" t="n"/>
      <c r="B30" s="61" t="n"/>
      <c r="C30" s="44" t="n"/>
      <c r="D30" s="44" t="n"/>
      <c r="E30" s="44" t="n"/>
      <c r="F30" s="44" t="n"/>
      <c r="G30" s="44" t="n"/>
      <c r="H30" s="44" t="n"/>
      <c r="I30" s="44" t="n"/>
      <c r="J30" s="44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E8" sqref="E8"/>
    </sheetView>
  </sheetViews>
  <sheetFormatPr baseColWidth="10" defaultColWidth="8.83203125" defaultRowHeight="19" outlineLevelCol="0"/>
  <cols>
    <col width="32.1640625" customWidth="1" style="14" min="1" max="1"/>
    <col width="19.33203125" customWidth="1" style="18" min="2" max="2"/>
    <col width="8.83203125" customWidth="1" style="14" min="3" max="16384"/>
  </cols>
  <sheetData>
    <row r="1" ht="21" customFormat="1" customHeight="1" s="29">
      <c r="A1" s="27" t="inlineStr">
        <is>
          <t>metric</t>
        </is>
      </c>
      <c r="B1" s="28" t="inlineStr">
        <is>
          <t>value</t>
        </is>
      </c>
    </row>
    <row r="2">
      <c r="A2" s="15" t="inlineStr">
        <is>
          <t>Gross Revenue</t>
        </is>
      </c>
      <c r="B2" s="16">
        <f>SUM(Event_PnL!B11:Z11)</f>
        <v/>
      </c>
    </row>
    <row r="3">
      <c r="A3" s="15" t="inlineStr">
        <is>
          <t>Net Revenue</t>
        </is>
      </c>
      <c r="B3" s="16">
        <f>B2-B8</f>
        <v/>
      </c>
    </row>
    <row r="4">
      <c r="A4" s="14" t="inlineStr">
        <is>
          <t>Total Food and Bev Cost</t>
        </is>
      </c>
      <c r="B4" s="18">
        <f>SUM((Event_PnL!B18:Z18):(Event_PnL!B19:Z19))</f>
        <v/>
      </c>
    </row>
    <row r="5">
      <c r="A5" s="14" t="inlineStr">
        <is>
          <t>Total Food and Bev Cost %</t>
        </is>
      </c>
      <c r="B5" s="17">
        <f>B4/B3</f>
        <v/>
      </c>
    </row>
    <row r="6">
      <c r="A6" s="14" t="inlineStr">
        <is>
          <t>Total Labor Cost</t>
        </is>
      </c>
      <c r="B6" s="18">
        <f>SUM(Event_PnL!B17:Z17)</f>
        <v/>
      </c>
    </row>
    <row r="7">
      <c r="A7" s="14" t="inlineStr">
        <is>
          <t>Total Labor Cost %</t>
        </is>
      </c>
      <c r="B7" s="19">
        <f>B6/B3</f>
        <v/>
      </c>
    </row>
    <row r="8">
      <c r="A8" s="14" t="inlineStr">
        <is>
          <t>Total Sales Tax</t>
        </is>
      </c>
      <c r="B8" s="18">
        <f>SUM(Event_PnL!B10:Z10)</f>
        <v/>
      </c>
    </row>
    <row r="9">
      <c r="A9" s="14" t="inlineStr">
        <is>
          <t>Opertaing Cost</t>
        </is>
      </c>
      <c r="B9" s="18">
        <f>SUM(B4,B6)</f>
        <v/>
      </c>
    </row>
    <row r="10">
      <c r="A10" s="14" t="inlineStr">
        <is>
          <t xml:space="preserve">Total Operating Profit </t>
        </is>
      </c>
      <c r="B10" s="18">
        <f>SUM(Event_PnL!B23:Z23)</f>
        <v/>
      </c>
    </row>
    <row r="11">
      <c r="A11" s="14" t="inlineStr">
        <is>
          <t>Operating Cost %</t>
        </is>
      </c>
      <c r="B11" s="19">
        <f>B9/B3</f>
        <v/>
      </c>
    </row>
    <row r="12">
      <c r="A12" s="14" t="inlineStr">
        <is>
          <t>Profit Margin %</t>
        </is>
      </c>
      <c r="B12" s="19">
        <f>(B10/B3)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F5" sqref="F5"/>
    </sheetView>
  </sheetViews>
  <sheetFormatPr baseColWidth="10" defaultColWidth="8.83203125" defaultRowHeight="19" outlineLevelCol="0"/>
  <cols>
    <col width="21" customWidth="1" style="7" min="1" max="1"/>
    <col width="53.1640625" customWidth="1" style="7" min="2" max="2"/>
    <col width="15" customWidth="1" style="10" min="3" max="3"/>
    <col width="7.1640625" customWidth="1" style="7" min="4" max="4"/>
    <col width="22.6640625" customWidth="1" style="11" min="5" max="5"/>
    <col width="8.83203125" customWidth="1" style="7" min="6" max="16384"/>
  </cols>
  <sheetData>
    <row r="1" ht="21" customFormat="1" customHeight="1" s="24">
      <c r="A1" s="22" t="inlineStr">
        <is>
          <t>event_date</t>
        </is>
      </c>
      <c r="B1" s="22" t="inlineStr">
        <is>
          <t>event_name</t>
        </is>
      </c>
      <c r="C1" s="23" t="inlineStr">
        <is>
          <t>event_labor_cost</t>
        </is>
      </c>
      <c r="E1" s="25" t="inlineStr">
        <is>
          <t>weekly_labor_cost</t>
        </is>
      </c>
    </row>
    <row r="2">
      <c r="A2" s="8" t="n"/>
      <c r="B2" s="9" t="n"/>
      <c r="E2" s="11">
        <f>SUM(C2:C100)</f>
        <v/>
      </c>
    </row>
    <row r="3">
      <c r="A3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2" sqref="A2:F13"/>
    </sheetView>
  </sheetViews>
  <sheetFormatPr baseColWidth="10" defaultColWidth="8.83203125" defaultRowHeight="19" outlineLevelCol="0"/>
  <cols>
    <col width="16" customWidth="1" style="1" min="1" max="1"/>
    <col width="20.5" customWidth="1" style="1" min="2" max="2"/>
    <col width="33.1640625" customWidth="1" style="1" min="3" max="3"/>
    <col width="40.33203125" customWidth="1" style="1" min="4" max="4"/>
    <col width="14" customWidth="1" style="2" min="5" max="5"/>
    <col width="53" customWidth="1" style="1" min="6" max="6"/>
    <col width="13.6640625" customWidth="1" style="1" min="7" max="8"/>
    <col width="8.83203125" customWidth="1" style="1" min="9" max="16384"/>
  </cols>
  <sheetData>
    <row r="1" ht="21" customFormat="1" customHeight="1" s="26">
      <c r="A1" s="20" t="inlineStr">
        <is>
          <t>invoice_date</t>
        </is>
      </c>
      <c r="B1" s="20" t="inlineStr">
        <is>
          <t>vendor</t>
        </is>
      </c>
      <c r="C1" s="20" t="inlineStr">
        <is>
          <t>invoice_number</t>
        </is>
      </c>
      <c r="D1" s="20" t="inlineStr">
        <is>
          <t>category</t>
        </is>
      </c>
      <c r="E1" s="21" t="inlineStr">
        <is>
          <t>cost</t>
        </is>
      </c>
      <c r="F1" s="20" t="inlineStr">
        <is>
          <t>notes</t>
        </is>
      </c>
      <c r="G1" s="20" t="inlineStr">
        <is>
          <t>total_cost</t>
        </is>
      </c>
    </row>
    <row r="2">
      <c r="A2" s="5" t="inlineStr">
        <is>
          <t>03-07-202</t>
        </is>
      </c>
      <c r="B2" s="4" t="inlineStr">
        <is>
          <t>All Natural Products Davidovich Bakery</t>
        </is>
      </c>
      <c r="C2" s="4" t="inlineStr">
        <is>
          <t>948010</t>
        </is>
      </c>
      <c r="D2" s="4" t="inlineStr">
        <is>
          <t>Bagels</t>
        </is>
      </c>
      <c r="E2" s="6" t="n">
        <v>32.99</v>
      </c>
      <c r="F2" s="4" t="inlineStr">
        <is>
          <t>1 DZ, 4 types of Bagels</t>
        </is>
      </c>
      <c r="G2" s="6">
        <f>SUM(E2:E10)</f>
        <v/>
      </c>
    </row>
    <row r="3">
      <c r="A3" s="5" t="inlineStr">
        <is>
          <t>03-05-2026</t>
        </is>
      </c>
      <c r="B3" s="4" t="inlineStr">
        <is>
          <t>Chef's Warehouse</t>
        </is>
      </c>
      <c r="C3" s="4" t="inlineStr">
        <is>
          <t>4908189</t>
        </is>
      </c>
      <c r="D3" s="4" t="inlineStr">
        <is>
          <t>Eggs / Frozen Goods</t>
        </is>
      </c>
      <c r="E3" s="6" t="n">
        <v>288.56</v>
      </c>
      <c r="F3" s="4" t="inlineStr"/>
      <c r="G3" s="4" t="n"/>
    </row>
    <row r="4">
      <c r="A4" s="5" t="inlineStr">
        <is>
          <t>03-05-2026</t>
        </is>
      </c>
      <c r="B4" s="4" t="inlineStr">
        <is>
          <t>Baldor</t>
        </is>
      </c>
      <c r="C4" s="4" t="inlineStr">
        <is>
          <t>IV101-0028189541</t>
        </is>
      </c>
      <c r="D4" s="4" t="inlineStr">
        <is>
          <t>Produce</t>
        </is>
      </c>
      <c r="E4" s="6" t="n">
        <v>786.1</v>
      </c>
      <c r="F4" s="4" t="inlineStr"/>
      <c r="G4" s="4" t="n"/>
    </row>
    <row r="5">
      <c r="A5" s="5" t="inlineStr">
        <is>
          <t>03-07-2026</t>
        </is>
      </c>
      <c r="B5" s="4" t="inlineStr">
        <is>
          <t>Baldor</t>
        </is>
      </c>
      <c r="C5" s="12" t="inlineStr">
        <is>
          <t>IV101-0028210021</t>
        </is>
      </c>
      <c r="D5" s="4" t="inlineStr">
        <is>
          <t>Produce</t>
        </is>
      </c>
      <c r="E5" s="6" t="n">
        <v>244.01</v>
      </c>
      <c r="F5" s="4" t="inlineStr"/>
      <c r="G5" s="4" t="n"/>
    </row>
    <row r="6">
      <c r="A6" s="5" t="inlineStr">
        <is>
          <t>03-06-2026</t>
        </is>
      </c>
      <c r="B6" s="4" t="inlineStr">
        <is>
          <t>Prime Food Distributor</t>
        </is>
      </c>
      <c r="C6" s="4" t="inlineStr">
        <is>
          <t>299306</t>
        </is>
      </c>
      <c r="D6" s="4" t="inlineStr">
        <is>
          <t>Beef</t>
        </is>
      </c>
      <c r="E6" s="13" t="n">
        <v>1759.95</v>
      </c>
      <c r="F6" s="4" t="inlineStr">
        <is>
          <t>4x Beef, Ribeye Boneless Prime</t>
        </is>
      </c>
      <c r="G6" s="4" t="n"/>
    </row>
    <row r="7">
      <c r="A7" s="5" t="inlineStr">
        <is>
          <t>03-09-2026</t>
        </is>
      </c>
      <c r="B7" s="4" t="inlineStr">
        <is>
          <t>Tivoli Mushrooms, LLC</t>
        </is>
      </c>
      <c r="C7" s="4" t="inlineStr">
        <is>
          <t>35268</t>
        </is>
      </c>
      <c r="D7" s="4" t="inlineStr">
        <is>
          <t>Mushrooms</t>
        </is>
      </c>
      <c r="E7" s="6" t="n">
        <v>371</v>
      </c>
      <c r="F7" s="4" t="inlineStr">
        <is>
          <t>+30lbs Mixed Mushrooms</t>
        </is>
      </c>
      <c r="G7" s="4" t="n"/>
    </row>
    <row r="8">
      <c r="A8" s="4" t="inlineStr">
        <is>
          <t>03-06-2026</t>
        </is>
      </c>
      <c r="B8" s="4" t="inlineStr">
        <is>
          <t>Liepper &amp; Sons</t>
        </is>
      </c>
      <c r="C8" s="4" t="inlineStr">
        <is>
          <t>111235</t>
        </is>
      </c>
      <c r="D8" s="4" t="inlineStr">
        <is>
          <t>Fish</t>
        </is>
      </c>
      <c r="E8" s="6" t="n">
        <v>527.35</v>
      </c>
      <c r="F8" s="4" t="inlineStr">
        <is>
          <t>53 ea; 800/1000 Branzino Fillet</t>
        </is>
      </c>
      <c r="G8" s="4" t="n"/>
    </row>
    <row r="9">
      <c r="A9" s="4" t="inlineStr">
        <is>
          <t>03-06-2026</t>
        </is>
      </c>
      <c r="B9" s="4" t="inlineStr">
        <is>
          <t>Liepper &amp; Sons</t>
        </is>
      </c>
      <c r="C9" s="4" t="inlineStr">
        <is>
          <t>111235</t>
        </is>
      </c>
      <c r="D9" s="4" t="inlineStr">
        <is>
          <t>Fish</t>
        </is>
      </c>
      <c r="E9" s="6" t="n">
        <v>412.6</v>
      </c>
      <c r="F9" s="4" t="inlineStr">
        <is>
          <t>7x sides Steelhead Salmon, skin-off</t>
        </is>
      </c>
      <c r="G9" s="4" t="n"/>
    </row>
    <row r="10">
      <c r="A10" s="4" t="inlineStr">
        <is>
          <t>03-07-2026</t>
        </is>
      </c>
      <c r="B10" s="4" t="inlineStr">
        <is>
          <t>Pain d Avignon</t>
        </is>
      </c>
      <c r="C10" s="4" t="inlineStr"/>
      <c r="D10" s="4" t="inlineStr">
        <is>
          <t>Pastries</t>
        </is>
      </c>
      <c r="E10" s="6" t="n">
        <v>73.44</v>
      </c>
      <c r="F10" s="4" t="inlineStr">
        <is>
          <t>1 DZ ea Croissant, Pain au Chocolat, Kouign Amann</t>
        </is>
      </c>
      <c r="G10" s="4" t="n"/>
    </row>
    <row r="11">
      <c r="A11" t="inlineStr">
        <is>
          <t>03-07-2026</t>
        </is>
      </c>
      <c r="B11" t="inlineStr">
        <is>
          <t>Eli's Bread</t>
        </is>
      </c>
      <c r="C11" t="inlineStr"/>
      <c r="D11" t="inlineStr">
        <is>
          <t>Bread</t>
        </is>
      </c>
      <c r="E11" t="n">
        <v>60</v>
      </c>
      <c r="F11" t="inlineStr">
        <is>
          <t>3 DZ mini Brioche hot dog, 4x 1.5# SF-style Sourdough, 1x, 5x5 Brioche Pullman</t>
        </is>
      </c>
    </row>
    <row r="12">
      <c r="A12" t="inlineStr">
        <is>
          <t>03-07-2026</t>
        </is>
      </c>
      <c r="B12" t="inlineStr">
        <is>
          <t>Pat La Frieda</t>
        </is>
      </c>
      <c r="C12" t="inlineStr"/>
      <c r="D12" t="inlineStr">
        <is>
          <t>Meat</t>
        </is>
      </c>
      <c r="E12" t="n">
        <v>143.7</v>
      </c>
      <c r="F12" t="inlineStr">
        <is>
          <t>1 cs Chicken French Airline Cutlet</t>
        </is>
      </c>
    </row>
    <row r="13">
      <c r="A13" t="inlineStr">
        <is>
          <t>03-07-2026</t>
        </is>
      </c>
      <c r="B13" t="inlineStr">
        <is>
          <t>Pat La Frieda</t>
        </is>
      </c>
      <c r="C13" t="inlineStr"/>
      <c r="D13" t="inlineStr">
        <is>
          <t>Meat</t>
        </is>
      </c>
      <c r="E13" t="n">
        <v>134.4</v>
      </c>
      <c r="F13" t="inlineStr">
        <is>
          <t>20lbs 2oz Dry Aged Beer Hamburger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8" workbookViewId="0">
      <selection activeCell="A1" sqref="A1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2026-03-08T21:37:14Z</dcterms:created>
  <dcterms:modified xmlns:dcterms="http://purl.org/dc/terms/" xmlns:xsi="http://www.w3.org/2001/XMLSchema-instance" xsi:type="dcterms:W3CDTF">2026-03-16T17:05:13Z</dcterms:modified>
  <cp:lastModifiedBy>David Cuvin</cp:lastModifiedBy>
</cp:coreProperties>
</file>