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event_financial_reports/2026/02_February/02-23-2026_weekly_report/"/>
    </mc:Choice>
  </mc:AlternateContent>
  <xr:revisionPtr revIDLastSave="0" documentId="13_ncr:1_{FADD1B71-8BB4-9447-B183-1A0D1F2CB8BC}" xr6:coauthVersionLast="47" xr6:coauthVersionMax="47" xr10:uidLastSave="{00000000-0000-0000-0000-000000000000}"/>
  <bookViews>
    <workbookView xWindow="33540" yWindow="180" windowWidth="27800" windowHeight="17480" activeTab="3" xr2:uid="{00000000-000D-0000-FFFF-FFFF00000000}"/>
  </bookViews>
  <sheets>
    <sheet name="Event_PnL" sheetId="5" r:id="rId1"/>
    <sheet name="Labor" sheetId="3" r:id="rId2"/>
    <sheet name="Invoices" sheetId="4" r:id="rId3"/>
    <sheet name="Weekly Summary" sheetId="6" r:id="rId4"/>
    <sheet name="Chart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4" i="6"/>
  <c r="G2" i="4"/>
  <c r="B3" i="6"/>
  <c r="B10" i="6" s="1"/>
  <c r="B13" i="6" s="1"/>
  <c r="B9" i="6"/>
  <c r="B12" i="6" s="1"/>
  <c r="N2" i="5"/>
  <c r="O2" i="5" s="1"/>
  <c r="S3" i="5"/>
  <c r="S2" i="5"/>
  <c r="R3" i="5"/>
  <c r="R2" i="5"/>
  <c r="N3" i="5"/>
  <c r="Q3" i="5" s="1"/>
  <c r="B11" i="6" l="1"/>
  <c r="P2" i="5"/>
  <c r="O3" i="5"/>
  <c r="P3" i="5" s="1"/>
  <c r="Q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E1" authorId="0" shapeId="0" xr:uid="{7A54C134-34F4-C144-961D-1154B6ECA0E7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costs of any addiotonal labor and/ outsourced labor
</t>
        </r>
      </text>
    </comment>
    <comment ref="F1" authorId="0" shapeId="0" xr:uid="{48431B31-3A47-E747-8C7D-E49BB71821BA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cost of BOH and FOH Event Staff
</t>
        </r>
      </text>
    </comment>
    <comment ref="H1" authorId="0" shapeId="0" xr:uid="{75E4C65D-6571-1245-A827-C6486842A989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cost of renting evnet spaces
</t>
        </r>
      </text>
    </comment>
    <comment ref="I1" authorId="0" shapeId="0" xr:uid="{81684773-129F-2C4D-9A75-DDE8E35582A6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cost of bev package</t>
        </r>
      </text>
    </comment>
    <comment ref="J1" authorId="0" shapeId="0" xr:uid="{09C3215F-7397-C14C-AF4B-FCA40F95A564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cost of food package</t>
        </r>
      </text>
    </comment>
    <comment ref="M1" authorId="0" shapeId="0" xr:uid="{4EBF9698-1589-EF49-8702-B6AF39F6C65F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cost of entire event</t>
        </r>
      </text>
    </comment>
    <comment ref="N1" authorId="0" shapeId="0" xr:uid="{1D142310-C96E-B94C-8FE8-D14B5A4FC132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food + Bev + Space Fee + admin fee </t>
        </r>
      </text>
    </comment>
    <comment ref="O1" authorId="0" shapeId="0" xr:uid="{F0A16B0B-331A-B940-8021-7977857F6991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Revenue - Food Cost - Labor Cost</t>
        </r>
      </text>
    </comment>
    <comment ref="P1" authorId="0" shapeId="0" xr:uid="{BB85A4C0-C142-3942-AAB3-DFD4BD135472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margin% = (operating_profit/ revenue) x 100</t>
        </r>
      </text>
    </comment>
    <comment ref="B2" authorId="0" shapeId="0" xr:uid="{C73637A4-D395-9E48-9C1F-1C6823F403F0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20% discount applied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C1" authorId="0" shapeId="0" xr:uid="{8D529A14-7201-784E-A2EE-AFD9163EE631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labor cost for the day of the event
</t>
        </r>
      </text>
    </comment>
    <comment ref="E1" authorId="0" shapeId="0" xr:uid="{1674F2E2-DE8B-E346-96FA-B78AED0AF249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weekly labor required (prep, set-up, etc.)</t>
        </r>
      </text>
    </comment>
    <comment ref="B2" authorId="0" shapeId="0" xr:uid="{1FF5D2B4-DC0C-2040-86B4-B54C63A02D9F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20% discount applied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Cuvin</author>
  </authors>
  <commentList>
    <comment ref="A2" authorId="0" shapeId="0" xr:uid="{EB595F93-B3E2-1F45-A1C0-5B130F428130}">
      <text>
        <r>
          <rPr>
            <b/>
            <sz val="10"/>
            <color rgb="FF000000"/>
            <rFont val="Tahoma"/>
            <family val="2"/>
          </rPr>
          <t>David Cuvin: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revenue before costs</t>
        </r>
      </text>
    </comment>
  </commentList>
</comments>
</file>

<file path=xl/sharedStrings.xml><?xml version="1.0" encoding="utf-8"?>
<sst xmlns="http://schemas.openxmlformats.org/spreadsheetml/2006/main" count="77" uniqueCount="67">
  <si>
    <t>notes</t>
  </si>
  <si>
    <t>event_date</t>
  </si>
  <si>
    <t>event_name</t>
  </si>
  <si>
    <t>event_type</t>
  </si>
  <si>
    <t>guest_count</t>
  </si>
  <si>
    <t>revenue</t>
  </si>
  <si>
    <t>invoice_date</t>
  </si>
  <si>
    <t>vendor</t>
  </si>
  <si>
    <t>invoice_number</t>
  </si>
  <si>
    <t>category</t>
  </si>
  <si>
    <t>total_cost</t>
  </si>
  <si>
    <t>allocated_food_cost</t>
  </si>
  <si>
    <t>margin_pct</t>
  </si>
  <si>
    <t>revenue_per_guest</t>
  </si>
  <si>
    <t>food_cost_per_guest</t>
  </si>
  <si>
    <t>labor_cost_per_guest</t>
  </si>
  <si>
    <t>metric</t>
  </si>
  <si>
    <t>value</t>
  </si>
  <si>
    <t>Total Food Cost</t>
  </si>
  <si>
    <t>Total Labor Cost</t>
  </si>
  <si>
    <t>Margot Hauer-King &amp; Jack Morant</t>
  </si>
  <si>
    <t>Wedding / Seated Dinner</t>
  </si>
  <si>
    <t>space_fee</t>
  </si>
  <si>
    <t>grand_total</t>
  </si>
  <si>
    <t>allocated_bev_cost</t>
  </si>
  <si>
    <t>admin_fee</t>
  </si>
  <si>
    <t>sales_tax</t>
  </si>
  <si>
    <t>additional_labor_cost</t>
  </si>
  <si>
    <t>in_house_hourly_labor_cost</t>
  </si>
  <si>
    <t>operating_profit</t>
  </si>
  <si>
    <t>rentals</t>
  </si>
  <si>
    <t>Ruba Katrib</t>
  </si>
  <si>
    <t>Birthday / Cheese &amp; Charcuterie</t>
  </si>
  <si>
    <t>event_labor_cost</t>
  </si>
  <si>
    <t>weekly_labor_cost</t>
  </si>
  <si>
    <t>Lapera</t>
  </si>
  <si>
    <t>sasso chickens</t>
  </si>
  <si>
    <t>30 sasso chickens</t>
  </si>
  <si>
    <t>Prime Foods</t>
  </si>
  <si>
    <t>Beef</t>
  </si>
  <si>
    <t>2x double r ranch choice beef tenderloin PSMO</t>
  </si>
  <si>
    <t>CW</t>
  </si>
  <si>
    <t>produce/ dry</t>
  </si>
  <si>
    <t>Baldor</t>
  </si>
  <si>
    <t>Order IV101-0028165141</t>
  </si>
  <si>
    <t>Order IV101-0028172126</t>
  </si>
  <si>
    <t>Natoora</t>
  </si>
  <si>
    <t>NYC2515168</t>
  </si>
  <si>
    <t>20x double r ranch choice beef tenderloin PSMO</t>
  </si>
  <si>
    <t>cost</t>
  </si>
  <si>
    <t>Eli Zabar</t>
  </si>
  <si>
    <t>bread</t>
  </si>
  <si>
    <t>Gross Revenue</t>
  </si>
  <si>
    <t>Total Sales Tax</t>
  </si>
  <si>
    <t>Opertaing Cost</t>
  </si>
  <si>
    <t xml:space="preserve">Operating Profit </t>
  </si>
  <si>
    <t>Profit Margin %</t>
  </si>
  <si>
    <t>Net Revenue</t>
  </si>
  <si>
    <t>Operating Cost %</t>
  </si>
  <si>
    <t>Operating Profit  %</t>
  </si>
  <si>
    <t>Liepper</t>
  </si>
  <si>
    <t>fish</t>
  </si>
  <si>
    <t>9 x sides hamachi</t>
  </si>
  <si>
    <t>Total Food Cost %</t>
  </si>
  <si>
    <t>Total Labor Cost %</t>
  </si>
  <si>
    <t>assorted dinner rolls</t>
  </si>
  <si>
    <r>
      <t> </t>
    </r>
    <r>
      <rPr>
        <sz val="14"/>
        <color rgb="FF2B2929"/>
        <rFont val="Helvetica"/>
        <family val="2"/>
      </rPr>
      <t>TCW7400278862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</si>
</sst>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6" x14ac:knownFonts="1">
    <font>
      <sz val="11"/>
      <color theme="1"/>
      <name val="Calibri"/>
      <family val="2"/>
      <scheme val="minor"/>
    </font>
    <font>
      <sz val="16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000000"/>
      <name val="Helvetica"/>
      <family val="2"/>
    </font>
    <font>
      <sz val="14"/>
      <color rgb="FF000000"/>
      <name val="Calibri"/>
      <family val="2"/>
    </font>
    <font>
      <sz val="14"/>
      <color rgb="FF2B2929"/>
      <name val="Helvetica"/>
      <family val="2"/>
    </font>
    <font>
      <sz val="14"/>
      <color theme="1"/>
      <name val="Calibri (Body)"/>
    </font>
    <font>
      <sz val="14"/>
      <name val="Calibri (Body)"/>
    </font>
    <font>
      <b/>
      <sz val="16"/>
      <color theme="1"/>
      <name val="Calibri (Body)"/>
    </font>
    <font>
      <b/>
      <sz val="16"/>
      <name val="Calibri (Body)"/>
    </font>
    <font>
      <sz val="16"/>
      <color theme="1"/>
      <name val="Calibri (Body)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168" fontId="4" fillId="0" borderId="0" xfId="0" applyNumberFormat="1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8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left" vertical="center"/>
    </xf>
    <xf numFmtId="168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68" fontId="11" fillId="0" borderId="0" xfId="0" applyNumberFormat="1" applyFont="1" applyAlignment="1">
      <alignment horizontal="right"/>
    </xf>
    <xf numFmtId="10" fontId="11" fillId="0" borderId="0" xfId="0" applyNumberFormat="1" applyFont="1" applyAlignment="1">
      <alignment horizontal="right"/>
    </xf>
    <xf numFmtId="168" fontId="10" fillId="0" borderId="0" xfId="0" applyNumberFormat="1" applyFont="1"/>
    <xf numFmtId="10" fontId="10" fillId="0" borderId="0" xfId="0" applyNumberFormat="1" applyFont="1"/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4" fontId="13" fillId="2" borderId="0" xfId="0" applyNumberFormat="1" applyFont="1" applyFill="1" applyAlignment="1">
      <alignment horizontal="left"/>
    </xf>
    <xf numFmtId="10" fontId="13" fillId="2" borderId="0" xfId="0" applyNumberFormat="1" applyFont="1" applyFill="1" applyAlignment="1">
      <alignment horizontal="left"/>
    </xf>
    <xf numFmtId="168" fontId="13" fillId="2" borderId="0" xfId="0" applyNumberFormat="1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3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top"/>
    </xf>
    <xf numFmtId="4" fontId="13" fillId="2" borderId="0" xfId="0" applyNumberFormat="1" applyFont="1" applyFill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168" fontId="13" fillId="2" borderId="0" xfId="0" applyNumberFormat="1" applyFont="1" applyFill="1" applyAlignment="1">
      <alignment horizontal="left" vertical="top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/>
    </xf>
    <xf numFmtId="168" fontId="15" fillId="2" borderId="0" xfId="0" applyNumberFormat="1" applyFont="1" applyFill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workbookViewId="0">
      <selection sqref="A1:XFD1"/>
    </sheetView>
  </sheetViews>
  <sheetFormatPr baseColWidth="10" defaultColWidth="8.83203125" defaultRowHeight="21" x14ac:dyDescent="0.25"/>
  <cols>
    <col min="1" max="1" width="19.1640625" style="3" customWidth="1"/>
    <col min="2" max="2" width="49" style="3" customWidth="1"/>
    <col min="3" max="5" width="47.1640625" style="3" customWidth="1"/>
    <col min="6" max="7" width="47.1640625" style="7" customWidth="1"/>
    <col min="8" max="8" width="26.5" style="7" customWidth="1"/>
    <col min="9" max="9" width="23" style="7" customWidth="1"/>
    <col min="10" max="10" width="19.33203125" style="7" customWidth="1"/>
    <col min="11" max="11" width="16.83203125" style="7" customWidth="1"/>
    <col min="12" max="12" width="14" style="7" customWidth="1"/>
    <col min="13" max="15" width="16" style="7" customWidth="1"/>
    <col min="16" max="16" width="19.33203125" style="8" customWidth="1"/>
    <col min="17" max="17" width="21" style="9" customWidth="1"/>
    <col min="18" max="18" width="23" style="9" customWidth="1"/>
    <col min="19" max="19" width="24" style="9" customWidth="1"/>
    <col min="20" max="16384" width="8.83203125" style="3"/>
  </cols>
  <sheetData>
    <row r="1" spans="1:19" s="31" customFormat="1" x14ac:dyDescent="0.25">
      <c r="A1" s="26" t="s">
        <v>1</v>
      </c>
      <c r="B1" s="27" t="s">
        <v>2</v>
      </c>
      <c r="C1" s="27" t="s">
        <v>3</v>
      </c>
      <c r="D1" s="27" t="s">
        <v>4</v>
      </c>
      <c r="E1" s="27" t="s">
        <v>27</v>
      </c>
      <c r="F1" s="28" t="s">
        <v>28</v>
      </c>
      <c r="G1" s="28" t="s">
        <v>30</v>
      </c>
      <c r="H1" s="28" t="s">
        <v>22</v>
      </c>
      <c r="I1" s="28" t="s">
        <v>24</v>
      </c>
      <c r="J1" s="28" t="s">
        <v>11</v>
      </c>
      <c r="K1" s="28" t="s">
        <v>25</v>
      </c>
      <c r="L1" s="28" t="s">
        <v>26</v>
      </c>
      <c r="M1" s="28" t="s">
        <v>23</v>
      </c>
      <c r="N1" s="28" t="s">
        <v>5</v>
      </c>
      <c r="O1" s="28" t="s">
        <v>29</v>
      </c>
      <c r="P1" s="29" t="s">
        <v>12</v>
      </c>
      <c r="Q1" s="30" t="s">
        <v>13</v>
      </c>
      <c r="R1" s="30" t="s">
        <v>14</v>
      </c>
      <c r="S1" s="30" t="s">
        <v>15</v>
      </c>
    </row>
    <row r="2" spans="1:19" s="3" customFormat="1" x14ac:dyDescent="0.25">
      <c r="A2" s="4">
        <v>46081</v>
      </c>
      <c r="B2" s="5" t="s">
        <v>20</v>
      </c>
      <c r="C2" s="5" t="s">
        <v>21</v>
      </c>
      <c r="D2" s="3">
        <v>133</v>
      </c>
      <c r="E2" s="6">
        <v>550</v>
      </c>
      <c r="F2" s="7">
        <v>7572.1</v>
      </c>
      <c r="G2" s="7">
        <v>0</v>
      </c>
      <c r="H2" s="6">
        <v>10000</v>
      </c>
      <c r="I2" s="6">
        <v>16320</v>
      </c>
      <c r="J2" s="6">
        <v>29967</v>
      </c>
      <c r="K2" s="6">
        <v>13072.51</v>
      </c>
      <c r="L2" s="6">
        <v>6204.47</v>
      </c>
      <c r="M2" s="6">
        <v>76113.98</v>
      </c>
      <c r="N2" s="6">
        <f xml:space="preserve"> SUM(H2, I2,J2,K2)</f>
        <v>69359.509999999995</v>
      </c>
      <c r="O2" s="6">
        <f>N2 - F2 -I2-J2-E2</f>
        <v>14950.409999999996</v>
      </c>
      <c r="P2" s="8">
        <f>(O2 / N2)</f>
        <v>0.21554953314981604</v>
      </c>
      <c r="Q2" s="9">
        <f>N2 / D2</f>
        <v>521.50007518796986</v>
      </c>
      <c r="R2" s="9">
        <f>J2/D2</f>
        <v>225.31578947368422</v>
      </c>
      <c r="S2" s="9">
        <f>F2/D2</f>
        <v>56.933082706766918</v>
      </c>
    </row>
    <row r="3" spans="1:19" s="3" customFormat="1" x14ac:dyDescent="0.25">
      <c r="A3" s="4">
        <v>46082</v>
      </c>
      <c r="B3" s="3" t="s">
        <v>31</v>
      </c>
      <c r="C3" s="3" t="s">
        <v>32</v>
      </c>
      <c r="D3" s="3">
        <v>30</v>
      </c>
      <c r="E3" s="3">
        <v>0</v>
      </c>
      <c r="F3" s="7">
        <v>1269.7</v>
      </c>
      <c r="G3" s="7">
        <v>0</v>
      </c>
      <c r="H3" s="7">
        <v>0</v>
      </c>
      <c r="I3" s="6">
        <v>2475</v>
      </c>
      <c r="J3" s="5">
        <v>700</v>
      </c>
      <c r="K3" s="5">
        <v>730.25</v>
      </c>
      <c r="L3" s="5">
        <v>346.59</v>
      </c>
      <c r="M3" s="6">
        <v>4251.84</v>
      </c>
      <c r="N3" s="7">
        <f xml:space="preserve"> SUM(H3, I3,J3,K3)</f>
        <v>3905.25</v>
      </c>
      <c r="O3" s="6">
        <f>N3 - F3 -I3-J3-E3</f>
        <v>-539.44999999999982</v>
      </c>
      <c r="P3" s="8">
        <f>(O3 / N3)</f>
        <v>-0.13813456244798664</v>
      </c>
      <c r="Q3" s="9">
        <f>N3 / D3</f>
        <v>130.17500000000001</v>
      </c>
      <c r="R3" s="9">
        <f>J3/D3</f>
        <v>23.333333333333332</v>
      </c>
      <c r="S3" s="9">
        <f>F3/D3</f>
        <v>42.323333333333338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sqref="A1:XFD1"/>
    </sheetView>
  </sheetViews>
  <sheetFormatPr baseColWidth="10" defaultColWidth="8.83203125" defaultRowHeight="19" x14ac:dyDescent="0.2"/>
  <cols>
    <col min="1" max="1" width="21" style="13" customWidth="1"/>
    <col min="2" max="2" width="53.1640625" style="13" customWidth="1"/>
    <col min="3" max="3" width="15" style="16" customWidth="1"/>
    <col min="4" max="4" width="7.1640625" style="13" customWidth="1"/>
    <col min="5" max="5" width="22.6640625" style="17" customWidth="1"/>
    <col min="6" max="16384" width="8.83203125" style="13"/>
  </cols>
  <sheetData>
    <row r="1" spans="1:5" s="36" customFormat="1" ht="21" x14ac:dyDescent="0.2">
      <c r="A1" s="34" t="s">
        <v>1</v>
      </c>
      <c r="B1" s="34" t="s">
        <v>2</v>
      </c>
      <c r="C1" s="35" t="s">
        <v>33</v>
      </c>
      <c r="E1" s="37" t="s">
        <v>34</v>
      </c>
    </row>
    <row r="2" spans="1:5" x14ac:dyDescent="0.2">
      <c r="A2" s="14">
        <v>46081</v>
      </c>
      <c r="B2" s="15" t="s">
        <v>20</v>
      </c>
      <c r="C2" s="16">
        <v>7627.1</v>
      </c>
      <c r="E2" s="17">
        <v>11880.8</v>
      </c>
    </row>
    <row r="3" spans="1:5" x14ac:dyDescent="0.2">
      <c r="A3" s="14">
        <v>46082</v>
      </c>
      <c r="B3" s="13" t="s">
        <v>31</v>
      </c>
      <c r="C3" s="16">
        <v>1269.7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20" sqref="C20"/>
    </sheetView>
  </sheetViews>
  <sheetFormatPr baseColWidth="10" defaultColWidth="8.83203125" defaultRowHeight="19" x14ac:dyDescent="0.25"/>
  <cols>
    <col min="1" max="1" width="16" style="1" customWidth="1"/>
    <col min="2" max="2" width="20.5" style="1" customWidth="1"/>
    <col min="3" max="3" width="33.1640625" style="1" customWidth="1"/>
    <col min="4" max="4" width="40.33203125" style="1" customWidth="1"/>
    <col min="5" max="5" width="14" style="2" customWidth="1"/>
    <col min="6" max="6" width="53" style="1" customWidth="1"/>
    <col min="7" max="7" width="13.6640625" style="1" customWidth="1"/>
    <col min="8" max="16384" width="8.83203125" style="1"/>
  </cols>
  <sheetData>
    <row r="1" spans="1:7" s="38" customFormat="1" ht="21" x14ac:dyDescent="0.2">
      <c r="A1" s="32" t="s">
        <v>6</v>
      </c>
      <c r="B1" s="32" t="s">
        <v>7</v>
      </c>
      <c r="C1" s="32" t="s">
        <v>8</v>
      </c>
      <c r="D1" s="32" t="s">
        <v>9</v>
      </c>
      <c r="E1" s="33" t="s">
        <v>49</v>
      </c>
      <c r="F1" s="32" t="s">
        <v>0</v>
      </c>
      <c r="G1" s="32" t="s">
        <v>10</v>
      </c>
    </row>
    <row r="2" spans="1:7" s="1" customFormat="1" x14ac:dyDescent="0.25">
      <c r="A2" s="11">
        <v>46078</v>
      </c>
      <c r="B2" s="10" t="s">
        <v>35</v>
      </c>
      <c r="C2" s="10"/>
      <c r="D2" s="10" t="s">
        <v>36</v>
      </c>
      <c r="E2" s="12">
        <v>111</v>
      </c>
      <c r="F2" s="10" t="s">
        <v>37</v>
      </c>
      <c r="G2" s="12">
        <f>SUM(E2:E10)</f>
        <v>6697.9099999999989</v>
      </c>
    </row>
    <row r="3" spans="1:7" s="1" customFormat="1" x14ac:dyDescent="0.25">
      <c r="A3" s="11">
        <v>46079</v>
      </c>
      <c r="B3" s="10" t="s">
        <v>38</v>
      </c>
      <c r="C3" s="10"/>
      <c r="D3" s="10" t="s">
        <v>39</v>
      </c>
      <c r="E3" s="12">
        <v>399.2</v>
      </c>
      <c r="F3" s="10" t="s">
        <v>40</v>
      </c>
      <c r="G3" s="10"/>
    </row>
    <row r="4" spans="1:7" s="1" customFormat="1" x14ac:dyDescent="0.25">
      <c r="A4" s="11">
        <v>46077</v>
      </c>
      <c r="B4" s="10" t="s">
        <v>38</v>
      </c>
      <c r="C4" s="10"/>
      <c r="D4" s="10" t="s">
        <v>39</v>
      </c>
      <c r="E4" s="12">
        <v>3992</v>
      </c>
      <c r="F4" s="10" t="s">
        <v>48</v>
      </c>
      <c r="G4" s="10"/>
    </row>
    <row r="5" spans="1:7" s="1" customFormat="1" x14ac:dyDescent="0.25">
      <c r="A5" s="11">
        <v>46078</v>
      </c>
      <c r="B5" s="10" t="s">
        <v>41</v>
      </c>
      <c r="C5" s="18" t="s">
        <v>66</v>
      </c>
      <c r="D5" s="10" t="s">
        <v>42</v>
      </c>
      <c r="E5" s="12">
        <v>377.52</v>
      </c>
      <c r="F5" s="10"/>
      <c r="G5" s="10"/>
    </row>
    <row r="6" spans="1:7" s="1" customFormat="1" x14ac:dyDescent="0.25">
      <c r="A6" s="11"/>
      <c r="B6" s="10" t="s">
        <v>43</v>
      </c>
      <c r="C6" s="10" t="s">
        <v>44</v>
      </c>
      <c r="D6" s="10" t="s">
        <v>42</v>
      </c>
      <c r="E6" s="19">
        <v>559.5</v>
      </c>
      <c r="F6" s="10"/>
      <c r="G6" s="10"/>
    </row>
    <row r="7" spans="1:7" s="1" customFormat="1" x14ac:dyDescent="0.25">
      <c r="A7" s="11"/>
      <c r="B7" s="10" t="s">
        <v>43</v>
      </c>
      <c r="C7" s="10" t="s">
        <v>45</v>
      </c>
      <c r="D7" s="10" t="s">
        <v>42</v>
      </c>
      <c r="E7" s="12">
        <v>415.28</v>
      </c>
      <c r="F7" s="10"/>
      <c r="G7" s="10"/>
    </row>
    <row r="8" spans="1:7" s="1" customFormat="1" x14ac:dyDescent="0.25">
      <c r="A8" s="10"/>
      <c r="B8" s="10" t="s">
        <v>46</v>
      </c>
      <c r="C8" s="10" t="s">
        <v>47</v>
      </c>
      <c r="D8" s="10" t="s">
        <v>42</v>
      </c>
      <c r="E8" s="12">
        <v>135.72</v>
      </c>
      <c r="F8" s="10"/>
      <c r="G8" s="10"/>
    </row>
    <row r="9" spans="1:7" s="1" customFormat="1" x14ac:dyDescent="0.25">
      <c r="A9" s="10"/>
      <c r="B9" s="10" t="s">
        <v>50</v>
      </c>
      <c r="C9" s="10"/>
      <c r="D9" s="10" t="s">
        <v>51</v>
      </c>
      <c r="E9" s="12">
        <v>145.19999999999999</v>
      </c>
      <c r="F9" s="10" t="s">
        <v>65</v>
      </c>
      <c r="G9" s="10"/>
    </row>
    <row r="10" spans="1:7" s="1" customFormat="1" x14ac:dyDescent="0.25">
      <c r="A10" s="10"/>
      <c r="B10" s="10" t="s">
        <v>60</v>
      </c>
      <c r="C10" s="10"/>
      <c r="D10" s="10" t="s">
        <v>61</v>
      </c>
      <c r="E10" s="12">
        <v>562.49</v>
      </c>
      <c r="F10" s="10" t="s">
        <v>62</v>
      </c>
      <c r="G10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tabSelected="1" workbookViewId="0">
      <selection activeCell="G27" sqref="G27"/>
    </sheetView>
  </sheetViews>
  <sheetFormatPr baseColWidth="10" defaultColWidth="8.83203125" defaultRowHeight="19" x14ac:dyDescent="0.25"/>
  <cols>
    <col min="1" max="1" width="24" style="20" customWidth="1"/>
    <col min="2" max="2" width="19.33203125" style="24" customWidth="1"/>
    <col min="3" max="16384" width="8.83203125" style="20"/>
  </cols>
  <sheetData>
    <row r="1" spans="1:2" s="41" customFormat="1" ht="21" x14ac:dyDescent="0.25">
      <c r="A1" s="39" t="s">
        <v>16</v>
      </c>
      <c r="B1" s="40" t="s">
        <v>17</v>
      </c>
    </row>
    <row r="2" spans="1:2" x14ac:dyDescent="0.25">
      <c r="A2" s="21" t="s">
        <v>52</v>
      </c>
      <c r="B2" s="22">
        <v>80365.820000000007</v>
      </c>
    </row>
    <row r="3" spans="1:2" x14ac:dyDescent="0.25">
      <c r="A3" s="21" t="s">
        <v>57</v>
      </c>
      <c r="B3" s="22">
        <f>B2-B8</f>
        <v>73814.760000000009</v>
      </c>
    </row>
    <row r="4" spans="1:2" x14ac:dyDescent="0.25">
      <c r="A4" s="20" t="s">
        <v>63</v>
      </c>
      <c r="B4" s="23">
        <f>B5/B3</f>
        <v>9.0739440187843176E-2</v>
      </c>
    </row>
    <row r="5" spans="1:2" x14ac:dyDescent="0.25">
      <c r="A5" s="20" t="s">
        <v>18</v>
      </c>
      <c r="B5" s="24">
        <v>6697.91</v>
      </c>
    </row>
    <row r="6" spans="1:2" x14ac:dyDescent="0.25">
      <c r="A6" s="20" t="s">
        <v>64</v>
      </c>
      <c r="B6" s="25">
        <f>B7/B3</f>
        <v>0.16095425901269608</v>
      </c>
    </row>
    <row r="7" spans="1:2" x14ac:dyDescent="0.25">
      <c r="A7" s="20" t="s">
        <v>19</v>
      </c>
      <c r="B7" s="24">
        <v>11880.8</v>
      </c>
    </row>
    <row r="8" spans="1:2" x14ac:dyDescent="0.25">
      <c r="A8" s="20" t="s">
        <v>53</v>
      </c>
      <c r="B8" s="24">
        <v>6551.06</v>
      </c>
    </row>
    <row r="9" spans="1:2" x14ac:dyDescent="0.25">
      <c r="A9" s="20" t="s">
        <v>54</v>
      </c>
      <c r="B9" s="24">
        <f>SUM(B5,B7)</f>
        <v>18578.71</v>
      </c>
    </row>
    <row r="10" spans="1:2" x14ac:dyDescent="0.25">
      <c r="A10" s="20" t="s">
        <v>55</v>
      </c>
      <c r="B10" s="24">
        <f xml:space="preserve"> B3-B5-B7</f>
        <v>55236.05</v>
      </c>
    </row>
    <row r="11" spans="1:2" x14ac:dyDescent="0.25">
      <c r="A11" s="20" t="s">
        <v>59</v>
      </c>
      <c r="B11" s="25">
        <f>B10/B3</f>
        <v>0.7483063007994607</v>
      </c>
    </row>
    <row r="12" spans="1:2" x14ac:dyDescent="0.25">
      <c r="A12" s="20" t="s">
        <v>58</v>
      </c>
      <c r="B12" s="25">
        <f>B9/B3</f>
        <v>0.25169369920053924</v>
      </c>
    </row>
    <row r="13" spans="1:2" x14ac:dyDescent="0.25">
      <c r="A13" s="20" t="s">
        <v>56</v>
      </c>
      <c r="B13" s="25">
        <f>(B10/B3)</f>
        <v>0.7483063007994607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D3B0-A098-8248-9A91-D0FDD0C1B52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Event_PnL</vt:lpstr>
      <vt:lpstr>Labor</vt:lpstr>
      <vt:lpstr>Invoices</vt:lpstr>
      <vt:lpstr>Weekly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2026-03-08T21:37:14Z</dcterms:created>
  <dcterms:modified xsi:type="dcterms:W3CDTF">2026-03-09T22:51:51Z</dcterms:modified>
</cp:coreProperties>
</file>