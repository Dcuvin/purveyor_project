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"/>
    </mc:Choice>
  </mc:AlternateContent>
  <xr:revisionPtr revIDLastSave="0" documentId="13_ncr:1_{8E87ACF0-C0F4-CA4D-8C9C-24294E6964D6}" xr6:coauthVersionLast="47" xr6:coauthVersionMax="47" xr10:uidLastSave="{00000000-0000-0000-0000-000000000000}"/>
  <bookViews>
    <workbookView xWindow="2440" yWindow="1200" windowWidth="27800" windowHeight="17480" activeTab="2" xr2:uid="{00000000-000D-0000-FFFF-FFFF00000000}"/>
  </bookViews>
  <sheets>
    <sheet name="Weekly Info" sheetId="10" r:id="rId1"/>
    <sheet name="Event_PnL" sheetId="9" r:id="rId2"/>
    <sheet name="Weekly Summary" sheetId="6" r:id="rId3"/>
    <sheet name="Labor" sheetId="3" r:id="rId4"/>
    <sheet name="Invoices" sheetId="4" r:id="rId5"/>
    <sheet name="Charts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8" i="6"/>
  <c r="B3" i="6"/>
  <c r="B4" i="6"/>
  <c r="B9" i="6" s="1"/>
  <c r="B2" i="6"/>
  <c r="B17" i="9"/>
  <c r="B19" i="9"/>
  <c r="B28" i="9"/>
  <c r="B12" i="9"/>
  <c r="B26" i="9" s="1"/>
  <c r="B11" i="6" l="1"/>
  <c r="B7" i="6"/>
  <c r="B5" i="6"/>
  <c r="G2" i="4"/>
  <c r="B27" i="9" l="1"/>
  <c r="B29" i="9" s="1"/>
  <c r="B21" i="9"/>
  <c r="B23" i="9" s="1"/>
  <c r="B10" i="6" s="1"/>
  <c r="B12" i="6" s="1"/>
  <c r="B24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Cuvin</author>
  </authors>
  <commentList>
    <comment ref="A14" authorId="0" shapeId="0" xr:uid="{B0519644-9158-EC41-AED3-19330A6EADCB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day-of-event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A15" authorId="0" shapeId="0" xr:uid="{CE3EC192-6BFF-E94C-B8F6-A4B89078C45E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day-of-event</t>
        </r>
      </text>
    </comment>
    <comment ref="A16" authorId="0" shapeId="0" xr:uid="{2EFA2898-612E-294D-9F1A-1CBBB58105C9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day-of-event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A17" authorId="0" shapeId="0" xr:uid="{DDB944F3-551D-CD42-BE33-334D9A2F1ECC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day-of-event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A19" authorId="0" shapeId="0" xr:uid="{DF7890CD-0BEE-494A-A9E8-17B330A2D8AA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Currently unknow, so defaulting to 22% of Beverage Revenue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Cuvin</author>
  </authors>
  <commentList>
    <comment ref="A2" authorId="0" shapeId="0" xr:uid="{0AD7D3D6-088B-D64C-8908-1320951E84C9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revenue before costs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Cuvin</author>
  </authors>
  <commentList>
    <comment ref="C1" authorId="0" shapeId="0" xr:uid="{8D529A14-7201-784E-A2EE-AFD9163EE631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labor cost for the day of the event
</t>
        </r>
      </text>
    </comment>
    <comment ref="D1" authorId="0" shapeId="0" xr:uid="{D2C6418D-A11A-774B-8EE3-81F8DBA95B0E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total weekly labor required (prep, set-up, etc.) + 15% Buffer
</t>
        </r>
      </text>
    </comment>
  </commentList>
</comments>
</file>

<file path=xl/sharedStrings.xml><?xml version="1.0" encoding="utf-8"?>
<sst xmlns="http://schemas.openxmlformats.org/spreadsheetml/2006/main" count="53" uniqueCount="51">
  <si>
    <t>notes</t>
  </si>
  <si>
    <t>event_date</t>
  </si>
  <si>
    <t>event_name</t>
  </si>
  <si>
    <t>event_type</t>
  </si>
  <si>
    <t>guest_count</t>
  </si>
  <si>
    <t>invoice_date</t>
  </si>
  <si>
    <t>vendor</t>
  </si>
  <si>
    <t>invoice_number</t>
  </si>
  <si>
    <t>category</t>
  </si>
  <si>
    <t>total_cost</t>
  </si>
  <si>
    <t>margin_pct</t>
  </si>
  <si>
    <t>revenue_per_guest</t>
  </si>
  <si>
    <t>labor_cost_per_guest</t>
  </si>
  <si>
    <t>metric</t>
  </si>
  <si>
    <t>value</t>
  </si>
  <si>
    <t>Total Labor Cost</t>
  </si>
  <si>
    <t>space_fee</t>
  </si>
  <si>
    <t>admin_fee</t>
  </si>
  <si>
    <t>sales_tax</t>
  </si>
  <si>
    <t>additional_labor_cost</t>
  </si>
  <si>
    <t>in_house_hourly_labor_cost</t>
  </si>
  <si>
    <t>operating_profit</t>
  </si>
  <si>
    <t>rentals</t>
  </si>
  <si>
    <t>event_labor_cost</t>
  </si>
  <si>
    <t>weekly_labor_cost</t>
  </si>
  <si>
    <t>cost</t>
  </si>
  <si>
    <t>Gross Revenue</t>
  </si>
  <si>
    <t>Total Sales Tax</t>
  </si>
  <si>
    <t>Opertaing Cost</t>
  </si>
  <si>
    <t>Profit Margin %</t>
  </si>
  <si>
    <t>Net Revenue</t>
  </si>
  <si>
    <t>Operating Cost %</t>
  </si>
  <si>
    <t>Total Labor Cost %</t>
  </si>
  <si>
    <t>net_revenue</t>
  </si>
  <si>
    <t>gross_revenue</t>
  </si>
  <si>
    <t xml:space="preserve">Total Operating Profit </t>
  </si>
  <si>
    <t>food_revenue</t>
  </si>
  <si>
    <t>beverage_revenue</t>
  </si>
  <si>
    <t>outsourced_labor_cost</t>
  </si>
  <si>
    <t>profit_per_guest</t>
  </si>
  <si>
    <t>approx_operating_cost</t>
  </si>
  <si>
    <t>week_start</t>
  </si>
  <si>
    <t>week_end</t>
  </si>
  <si>
    <t>total_guests</t>
  </si>
  <si>
    <t>number_of_paid_events</t>
  </si>
  <si>
    <t>Total Food and Bev Cost</t>
  </si>
  <si>
    <t>Total Food and Bev Cost %</t>
  </si>
  <si>
    <t>total_labor_cost</t>
  </si>
  <si>
    <t>food_and_bev_cost_per_guest</t>
  </si>
  <si>
    <t>approx_food_cost</t>
  </si>
  <si>
    <t>approx_beverage_cost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</si>
</sst>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6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0000"/>
      <name val="Helvetica"/>
      <family val="2"/>
    </font>
    <font>
      <sz val="14"/>
      <color rgb="FF000000"/>
      <name val="Calibri"/>
      <family val="2"/>
    </font>
    <font>
      <sz val="14"/>
      <color theme="1"/>
      <name val="Calibri (Body)"/>
    </font>
    <font>
      <sz val="14"/>
      <name val="Calibri (Body)"/>
    </font>
    <font>
      <b/>
      <sz val="16"/>
      <color theme="1"/>
      <name val="Calibri (Body)"/>
    </font>
    <font>
      <b/>
      <sz val="16"/>
      <name val="Calibri (Body)"/>
    </font>
    <font>
      <sz val="16"/>
      <color theme="1"/>
      <name val="Calibri (Body)"/>
    </font>
    <font>
      <b/>
      <sz val="16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right"/>
    </xf>
    <xf numFmtId="10" fontId="10" fillId="0" borderId="0" xfId="0" applyNumberFormat="1" applyFont="1" applyAlignment="1">
      <alignment horizontal="right"/>
    </xf>
    <xf numFmtId="164" fontId="9" fillId="0" borderId="0" xfId="0" applyNumberFormat="1" applyFont="1"/>
    <xf numFmtId="10" fontId="9" fillId="0" borderId="0" xfId="0" applyNumberFormat="1" applyFont="1"/>
    <xf numFmtId="0" fontId="12" fillId="2" borderId="0" xfId="0" applyFont="1" applyFill="1" applyAlignment="1">
      <alignment horizontal="left" vertical="center"/>
    </xf>
    <xf numFmtId="164" fontId="12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horizontal="left" vertical="top"/>
    </xf>
    <xf numFmtId="4" fontId="12" fillId="2" borderId="0" xfId="0" applyNumberFormat="1" applyFont="1" applyFill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164" fontId="12" fillId="2" borderId="0" xfId="0" applyNumberFormat="1" applyFont="1" applyFill="1" applyAlignment="1">
      <alignment horizontal="left" vertical="top"/>
    </xf>
    <xf numFmtId="0" fontId="11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/>
    </xf>
    <xf numFmtId="164" fontId="14" fillId="2" borderId="0" xfId="0" applyNumberFormat="1" applyFont="1" applyFill="1" applyAlignment="1">
      <alignment horizontal="center"/>
    </xf>
    <xf numFmtId="0" fontId="6" fillId="2" borderId="0" xfId="0" applyFont="1" applyFill="1"/>
    <xf numFmtId="0" fontId="5" fillId="2" borderId="3" xfId="0" applyFont="1" applyFill="1" applyBorder="1"/>
    <xf numFmtId="0" fontId="3" fillId="2" borderId="4" xfId="0" applyFont="1" applyFill="1" applyBorder="1"/>
    <xf numFmtId="0" fontId="5" fillId="2" borderId="1" xfId="0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3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14" fontId="5" fillId="2" borderId="1" xfId="0" applyNumberFormat="1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0" borderId="5" xfId="0" applyNumberFormat="1" applyFont="1" applyBorder="1" applyAlignment="1">
      <alignment horizontal="right" vertical="center"/>
    </xf>
    <xf numFmtId="164" fontId="3" fillId="0" borderId="5" xfId="0" applyNumberFormat="1" applyFont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right" vertical="center"/>
    </xf>
    <xf numFmtId="164" fontId="3" fillId="3" borderId="4" xfId="0" applyNumberFormat="1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  <xf numFmtId="164" fontId="5" fillId="2" borderId="4" xfId="0" applyNumberFormat="1" applyFont="1" applyFill="1" applyBorder="1" applyAlignment="1">
      <alignment horizontal="left" vertical="center"/>
    </xf>
    <xf numFmtId="164" fontId="3" fillId="0" borderId="4" xfId="0" applyNumberFormat="1" applyFont="1" applyBorder="1" applyAlignment="1">
      <alignment horizontal="right" vertical="center"/>
    </xf>
    <xf numFmtId="14" fontId="6" fillId="0" borderId="1" xfId="0" applyNumberFormat="1" applyFont="1" applyBorder="1"/>
    <xf numFmtId="0" fontId="6" fillId="0" borderId="1" xfId="0" applyFont="1" applyBorder="1"/>
    <xf numFmtId="0" fontId="0" fillId="4" borderId="1" xfId="0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7C21-6CE1-F34C-BE72-4C2E7F9DF544}">
  <dimension ref="A1:B4"/>
  <sheetViews>
    <sheetView workbookViewId="0">
      <selection activeCell="C20" sqref="C20"/>
    </sheetView>
  </sheetViews>
  <sheetFormatPr baseColWidth="10" defaultRowHeight="15" x14ac:dyDescent="0.2"/>
  <cols>
    <col min="1" max="1" width="44.5" customWidth="1"/>
    <col min="2" max="2" width="19.6640625" customWidth="1"/>
  </cols>
  <sheetData>
    <row r="1" spans="1:2" ht="21" x14ac:dyDescent="0.25">
      <c r="A1" s="46" t="s">
        <v>41</v>
      </c>
      <c r="B1" s="59"/>
    </row>
    <row r="2" spans="1:2" ht="21" x14ac:dyDescent="0.25">
      <c r="A2" s="32" t="s">
        <v>42</v>
      </c>
      <c r="B2" s="59"/>
    </row>
    <row r="3" spans="1:2" ht="21" x14ac:dyDescent="0.25">
      <c r="A3" s="32" t="s">
        <v>44</v>
      </c>
      <c r="B3" s="60"/>
    </row>
    <row r="4" spans="1:2" ht="21" x14ac:dyDescent="0.25">
      <c r="A4" s="32" t="s">
        <v>43</v>
      </c>
      <c r="B4" s="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1A0F-2579-C14E-AA5C-FB621DFBD8C3}">
  <dimension ref="A1:J30"/>
  <sheetViews>
    <sheetView topLeftCell="A2" workbookViewId="0">
      <selection activeCell="B17" sqref="B17"/>
    </sheetView>
  </sheetViews>
  <sheetFormatPr baseColWidth="10" defaultRowHeight="21" x14ac:dyDescent="0.25"/>
  <cols>
    <col min="1" max="1" width="35.83203125" style="3" customWidth="1"/>
    <col min="2" max="2" width="38.6640625" style="45" customWidth="1"/>
    <col min="3" max="3" width="36.1640625" style="45" customWidth="1"/>
    <col min="4" max="4" width="30.5" style="45" customWidth="1"/>
    <col min="5" max="10" width="10.83203125" style="45"/>
  </cols>
  <sheetData>
    <row r="1" spans="1:10" s="33" customFormat="1" x14ac:dyDescent="0.2">
      <c r="A1" s="46" t="s">
        <v>1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s="34" customFormat="1" x14ac:dyDescent="0.2">
      <c r="A2" s="32" t="s">
        <v>2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s="34" customFormat="1" x14ac:dyDescent="0.2">
      <c r="A3" s="32" t="s">
        <v>3</v>
      </c>
      <c r="B3" s="40"/>
      <c r="C3" s="40"/>
      <c r="D3" s="40"/>
      <c r="E3" s="40"/>
      <c r="F3" s="40"/>
      <c r="G3" s="40"/>
      <c r="H3" s="40"/>
      <c r="I3" s="40"/>
      <c r="J3" s="40"/>
    </row>
    <row r="4" spans="1:10" s="36" customFormat="1" x14ac:dyDescent="0.2">
      <c r="A4" s="35" t="s">
        <v>4</v>
      </c>
      <c r="B4" s="41"/>
      <c r="C4" s="41"/>
      <c r="D4" s="41"/>
      <c r="E4" s="41"/>
      <c r="F4" s="41"/>
      <c r="G4" s="41"/>
      <c r="H4" s="41"/>
      <c r="I4" s="41"/>
      <c r="J4" s="41"/>
    </row>
    <row r="5" spans="1:10" s="38" customFormat="1" x14ac:dyDescent="0.2">
      <c r="A5" s="37"/>
      <c r="B5" s="42"/>
      <c r="C5" s="42"/>
      <c r="D5" s="42"/>
      <c r="E5" s="42"/>
      <c r="F5" s="42"/>
      <c r="G5" s="42"/>
      <c r="H5" s="42"/>
      <c r="I5" s="42"/>
      <c r="J5" s="42"/>
    </row>
    <row r="6" spans="1:10" s="50" customFormat="1" x14ac:dyDescent="0.2">
      <c r="A6" s="47" t="s">
        <v>16</v>
      </c>
      <c r="B6" s="48"/>
      <c r="C6" s="48"/>
      <c r="D6" s="49"/>
      <c r="E6" s="49"/>
      <c r="F6" s="49"/>
      <c r="G6" s="49"/>
      <c r="H6" s="49"/>
      <c r="I6" s="49"/>
      <c r="J6" s="49"/>
    </row>
    <row r="7" spans="1:10" s="52" customFormat="1" x14ac:dyDescent="0.2">
      <c r="A7" s="51" t="s">
        <v>36</v>
      </c>
      <c r="B7" s="48"/>
      <c r="C7" s="48"/>
      <c r="D7" s="48"/>
      <c r="E7" s="48"/>
      <c r="F7" s="48"/>
      <c r="G7" s="48"/>
      <c r="H7" s="48"/>
      <c r="I7" s="48"/>
      <c r="J7" s="48"/>
    </row>
    <row r="8" spans="1:10" s="52" customFormat="1" x14ac:dyDescent="0.2">
      <c r="A8" s="51" t="s">
        <v>37</v>
      </c>
      <c r="B8" s="48"/>
      <c r="C8" s="48"/>
      <c r="D8" s="48"/>
      <c r="E8" s="48"/>
      <c r="F8" s="48"/>
      <c r="G8" s="48"/>
      <c r="H8" s="48"/>
      <c r="I8" s="48"/>
      <c r="J8" s="48"/>
    </row>
    <row r="9" spans="1:10" s="52" customFormat="1" x14ac:dyDescent="0.2">
      <c r="A9" s="51" t="s">
        <v>17</v>
      </c>
      <c r="B9" s="48"/>
      <c r="C9" s="48"/>
      <c r="D9" s="48"/>
      <c r="E9" s="48"/>
      <c r="F9" s="48"/>
      <c r="G9" s="48"/>
      <c r="H9" s="48"/>
      <c r="I9" s="48"/>
      <c r="J9" s="48"/>
    </row>
    <row r="10" spans="1:10" s="52" customFormat="1" x14ac:dyDescent="0.2">
      <c r="A10" s="51" t="s">
        <v>18</v>
      </c>
      <c r="B10" s="53"/>
      <c r="C10" s="53"/>
      <c r="D10" s="48"/>
      <c r="E10" s="48"/>
      <c r="F10" s="48"/>
      <c r="G10" s="48"/>
      <c r="H10" s="48"/>
      <c r="I10" s="48"/>
      <c r="J10" s="48"/>
    </row>
    <row r="11" spans="1:10" s="52" customFormat="1" x14ac:dyDescent="0.2">
      <c r="A11" s="51" t="s">
        <v>34</v>
      </c>
      <c r="B11" s="62"/>
      <c r="C11" s="54"/>
      <c r="D11" s="48"/>
      <c r="E11" s="48"/>
      <c r="F11" s="48"/>
      <c r="G11" s="48"/>
      <c r="H11" s="48"/>
      <c r="I11" s="48"/>
      <c r="J11" s="48"/>
    </row>
    <row r="12" spans="1:10" s="56" customFormat="1" x14ac:dyDescent="0.2">
      <c r="A12" s="55" t="s">
        <v>33</v>
      </c>
      <c r="B12" s="49">
        <f>B11-B10</f>
        <v>0</v>
      </c>
      <c r="C12" s="49"/>
      <c r="D12" s="53"/>
      <c r="E12" s="53"/>
      <c r="F12" s="53"/>
      <c r="G12" s="53"/>
      <c r="H12" s="53"/>
      <c r="I12" s="53"/>
      <c r="J12" s="53"/>
    </row>
    <row r="13" spans="1:10" s="38" customFormat="1" x14ac:dyDescent="0.2">
      <c r="A13" s="37"/>
      <c r="B13" s="42"/>
      <c r="C13" s="42"/>
      <c r="D13" s="42"/>
      <c r="E13" s="42"/>
      <c r="F13" s="42"/>
      <c r="G13" s="42"/>
      <c r="H13" s="42"/>
      <c r="I13" s="42"/>
      <c r="J13" s="42"/>
    </row>
    <row r="14" spans="1:10" s="52" customFormat="1" x14ac:dyDescent="0.2">
      <c r="A14" s="57" t="s">
        <v>19</v>
      </c>
      <c r="B14" s="58"/>
      <c r="C14" s="58"/>
      <c r="D14" s="48"/>
      <c r="E14" s="48"/>
      <c r="F14" s="48"/>
      <c r="G14" s="48"/>
      <c r="H14" s="48"/>
      <c r="I14" s="48"/>
      <c r="J14" s="48"/>
    </row>
    <row r="15" spans="1:10" s="52" customFormat="1" x14ac:dyDescent="0.2">
      <c r="A15" s="51" t="s">
        <v>20</v>
      </c>
      <c r="B15" s="49"/>
      <c r="C15" s="49"/>
      <c r="D15" s="48"/>
      <c r="E15" s="48"/>
      <c r="F15" s="48"/>
      <c r="G15" s="48"/>
      <c r="H15" s="48"/>
      <c r="I15" s="48"/>
      <c r="J15" s="48"/>
    </row>
    <row r="16" spans="1:10" s="52" customFormat="1" x14ac:dyDescent="0.2">
      <c r="A16" s="51" t="s">
        <v>38</v>
      </c>
      <c r="B16" s="48">
        <v>0</v>
      </c>
      <c r="C16" s="48"/>
      <c r="D16" s="48"/>
      <c r="E16" s="48"/>
      <c r="F16" s="48"/>
      <c r="G16" s="48"/>
      <c r="H16" s="48"/>
      <c r="I16" s="48"/>
      <c r="J16" s="48"/>
    </row>
    <row r="17" spans="1:10" s="52" customFormat="1" x14ac:dyDescent="0.2">
      <c r="A17" s="51" t="s">
        <v>47</v>
      </c>
      <c r="B17" s="49">
        <f>SUM(B14:B16)</f>
        <v>0</v>
      </c>
      <c r="C17" s="49"/>
      <c r="D17" s="48"/>
      <c r="E17" s="48"/>
      <c r="F17" s="48"/>
      <c r="G17" s="48"/>
      <c r="H17" s="48"/>
      <c r="I17" s="48"/>
      <c r="J17" s="48"/>
    </row>
    <row r="18" spans="1:10" s="52" customFormat="1" x14ac:dyDescent="0.2">
      <c r="A18" s="51" t="s">
        <v>49</v>
      </c>
      <c r="B18" s="49"/>
      <c r="C18" s="49"/>
      <c r="D18" s="48"/>
      <c r="E18" s="48"/>
      <c r="F18" s="48"/>
      <c r="G18" s="48"/>
      <c r="H18" s="48"/>
      <c r="I18" s="48"/>
      <c r="J18" s="48"/>
    </row>
    <row r="19" spans="1:10" s="52" customFormat="1" x14ac:dyDescent="0.2">
      <c r="A19" s="51" t="s">
        <v>50</v>
      </c>
      <c r="B19" s="49">
        <f xml:space="preserve"> 20% * B8</f>
        <v>0</v>
      </c>
      <c r="C19" s="49"/>
      <c r="D19" s="48"/>
      <c r="E19" s="48"/>
      <c r="F19" s="48"/>
      <c r="G19" s="48"/>
      <c r="H19" s="48"/>
      <c r="I19" s="48"/>
      <c r="J19" s="48"/>
    </row>
    <row r="20" spans="1:10" s="52" customFormat="1" x14ac:dyDescent="0.2">
      <c r="A20" s="51" t="s">
        <v>22</v>
      </c>
      <c r="B20" s="48">
        <v>0</v>
      </c>
      <c r="C20" s="48"/>
      <c r="D20" s="48"/>
      <c r="E20" s="48"/>
      <c r="F20" s="48"/>
      <c r="G20" s="48"/>
      <c r="H20" s="48"/>
      <c r="I20" s="48"/>
      <c r="J20" s="48"/>
    </row>
    <row r="21" spans="1:10" s="56" customFormat="1" x14ac:dyDescent="0.2">
      <c r="A21" s="55" t="s">
        <v>40</v>
      </c>
      <c r="B21" s="53">
        <f xml:space="preserve"> SUM(B14:B20)</f>
        <v>0</v>
      </c>
      <c r="C21" s="53"/>
      <c r="D21" s="53"/>
      <c r="E21" s="53"/>
      <c r="F21" s="53"/>
      <c r="G21" s="53"/>
      <c r="H21" s="53"/>
      <c r="I21" s="53"/>
      <c r="J21" s="53"/>
    </row>
    <row r="22" spans="1:10" s="38" customFormat="1" x14ac:dyDescent="0.2">
      <c r="A22" s="37"/>
      <c r="B22" s="42"/>
      <c r="C22" s="42"/>
      <c r="D22" s="42"/>
      <c r="E22" s="42"/>
      <c r="F22" s="42"/>
      <c r="G22" s="42"/>
      <c r="H22" s="42"/>
      <c r="I22" s="42"/>
      <c r="J22" s="42"/>
    </row>
    <row r="23" spans="1:10" s="50" customFormat="1" x14ac:dyDescent="0.2">
      <c r="A23" s="47" t="s">
        <v>21</v>
      </c>
      <c r="B23" s="49">
        <f>B12-B21</f>
        <v>0</v>
      </c>
      <c r="C23" s="49"/>
      <c r="D23" s="49"/>
      <c r="E23" s="49"/>
      <c r="F23" s="49"/>
      <c r="G23" s="49"/>
      <c r="H23" s="49"/>
      <c r="I23" s="49"/>
      <c r="J23" s="49"/>
    </row>
    <row r="24" spans="1:10" s="36" customFormat="1" x14ac:dyDescent="0.2">
      <c r="A24" s="35" t="s">
        <v>10</v>
      </c>
      <c r="B24" s="43" t="e">
        <f>B23/B12</f>
        <v>#DIV/0!</v>
      </c>
      <c r="C24" s="43"/>
      <c r="D24" s="41"/>
      <c r="E24" s="41"/>
      <c r="F24" s="41"/>
      <c r="G24" s="41"/>
      <c r="H24" s="41"/>
      <c r="I24" s="41"/>
      <c r="J24" s="41"/>
    </row>
    <row r="25" spans="1:10" s="38" customFormat="1" x14ac:dyDescent="0.2">
      <c r="A25" s="37"/>
      <c r="B25" s="42"/>
      <c r="C25" s="42"/>
      <c r="D25" s="42"/>
      <c r="E25" s="42"/>
      <c r="F25" s="42"/>
      <c r="G25" s="42"/>
      <c r="H25" s="42"/>
      <c r="I25" s="42"/>
      <c r="J25" s="42"/>
    </row>
    <row r="26" spans="1:10" s="50" customFormat="1" x14ac:dyDescent="0.2">
      <c r="A26" s="47" t="s">
        <v>11</v>
      </c>
      <c r="B26" s="48" t="e">
        <f>B12/B4</f>
        <v>#DIV/0!</v>
      </c>
      <c r="C26" s="48"/>
      <c r="D26" s="49"/>
      <c r="E26" s="49"/>
      <c r="F26" s="49"/>
      <c r="G26" s="49"/>
      <c r="H26" s="49"/>
      <c r="I26" s="49"/>
      <c r="J26" s="49"/>
    </row>
    <row r="27" spans="1:10" s="52" customFormat="1" x14ac:dyDescent="0.2">
      <c r="A27" s="51" t="s">
        <v>48</v>
      </c>
      <c r="B27" s="48" t="e">
        <f>(B18 + B19) / B4</f>
        <v>#DIV/0!</v>
      </c>
      <c r="C27" s="48"/>
      <c r="D27" s="48"/>
      <c r="E27" s="48"/>
      <c r="F27" s="48"/>
      <c r="G27" s="48"/>
      <c r="H27" s="48"/>
      <c r="I27" s="48"/>
      <c r="J27" s="48"/>
    </row>
    <row r="28" spans="1:10" s="52" customFormat="1" x14ac:dyDescent="0.2">
      <c r="A28" s="51" t="s">
        <v>12</v>
      </c>
      <c r="B28" s="53" t="e">
        <f xml:space="preserve"> SUM(B14:B16) / B4</f>
        <v>#DIV/0!</v>
      </c>
      <c r="C28" s="53"/>
      <c r="D28" s="48"/>
      <c r="E28" s="48"/>
      <c r="F28" s="48"/>
      <c r="G28" s="48"/>
      <c r="H28" s="48"/>
      <c r="I28" s="48"/>
      <c r="J28" s="48"/>
    </row>
    <row r="29" spans="1:10" s="56" customFormat="1" x14ac:dyDescent="0.2">
      <c r="A29" s="55" t="s">
        <v>39</v>
      </c>
      <c r="B29" s="53" t="e">
        <f>B26-B27-B28</f>
        <v>#DIV/0!</v>
      </c>
      <c r="C29" s="53"/>
      <c r="D29" s="53"/>
      <c r="E29" s="53"/>
      <c r="F29" s="53"/>
      <c r="G29" s="53"/>
      <c r="H29" s="53"/>
      <c r="I29" s="53"/>
      <c r="J29" s="53"/>
    </row>
    <row r="30" spans="1:10" s="31" customFormat="1" x14ac:dyDescent="0.25">
      <c r="A30" s="30"/>
      <c r="B30" s="61"/>
      <c r="C30" s="44"/>
      <c r="D30" s="44"/>
      <c r="E30" s="44"/>
      <c r="F30" s="44"/>
      <c r="G30" s="44"/>
      <c r="H30" s="44"/>
      <c r="I30" s="44"/>
      <c r="J30" s="4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tabSelected="1" workbookViewId="0">
      <selection activeCell="F14" sqref="F14"/>
    </sheetView>
  </sheetViews>
  <sheetFormatPr baseColWidth="10" defaultColWidth="8.83203125" defaultRowHeight="19" x14ac:dyDescent="0.25"/>
  <cols>
    <col min="1" max="1" width="32.1640625" style="14" customWidth="1"/>
    <col min="2" max="2" width="19.33203125" style="18" customWidth="1"/>
    <col min="3" max="16384" width="8.83203125" style="14"/>
  </cols>
  <sheetData>
    <row r="1" spans="1:2" s="29" customFormat="1" ht="21" x14ac:dyDescent="0.25">
      <c r="A1" s="27" t="s">
        <v>13</v>
      </c>
      <c r="B1" s="28" t="s">
        <v>14</v>
      </c>
    </row>
    <row r="2" spans="1:2" x14ac:dyDescent="0.25">
      <c r="A2" s="15" t="s">
        <v>26</v>
      </c>
      <c r="B2" s="16">
        <f>SUM(Event_PnL!B11:Z11)</f>
        <v>0</v>
      </c>
    </row>
    <row r="3" spans="1:2" x14ac:dyDescent="0.25">
      <c r="A3" s="15" t="s">
        <v>30</v>
      </c>
      <c r="B3" s="16">
        <f>B2-B8</f>
        <v>0</v>
      </c>
    </row>
    <row r="4" spans="1:2" x14ac:dyDescent="0.25">
      <c r="A4" s="14" t="s">
        <v>45</v>
      </c>
      <c r="B4" s="18">
        <f>SUM((Event_PnL!B18:Z18):(Event_PnL!B19:Z19))</f>
        <v>0</v>
      </c>
    </row>
    <row r="5" spans="1:2" x14ac:dyDescent="0.25">
      <c r="A5" s="14" t="s">
        <v>46</v>
      </c>
      <c r="B5" s="17" t="e">
        <f>B4/B3</f>
        <v>#DIV/0!</v>
      </c>
    </row>
    <row r="6" spans="1:2" x14ac:dyDescent="0.25">
      <c r="A6" s="14" t="s">
        <v>15</v>
      </c>
      <c r="B6" s="18">
        <f>SUM(Labor!D2)</f>
        <v>0</v>
      </c>
    </row>
    <row r="7" spans="1:2" x14ac:dyDescent="0.25">
      <c r="A7" s="14" t="s">
        <v>32</v>
      </c>
      <c r="B7" s="19" t="e">
        <f>B6/B3</f>
        <v>#DIV/0!</v>
      </c>
    </row>
    <row r="8" spans="1:2" x14ac:dyDescent="0.25">
      <c r="A8" s="14" t="s">
        <v>27</v>
      </c>
      <c r="B8" s="18">
        <f>SUM(Event_PnL!B10:Z10)</f>
        <v>0</v>
      </c>
    </row>
    <row r="9" spans="1:2" x14ac:dyDescent="0.25">
      <c r="A9" s="14" t="s">
        <v>28</v>
      </c>
      <c r="B9" s="18">
        <f>SUM(B4,B6)</f>
        <v>0</v>
      </c>
    </row>
    <row r="10" spans="1:2" x14ac:dyDescent="0.25">
      <c r="A10" s="14" t="s">
        <v>35</v>
      </c>
      <c r="B10" s="18">
        <f>SUM(Event_PnL!B23:Z23)</f>
        <v>0</v>
      </c>
    </row>
    <row r="11" spans="1:2" x14ac:dyDescent="0.25">
      <c r="A11" s="14" t="s">
        <v>31</v>
      </c>
      <c r="B11" s="19" t="e">
        <f>B9/B3</f>
        <v>#DIV/0!</v>
      </c>
    </row>
    <row r="12" spans="1:2" x14ac:dyDescent="0.25">
      <c r="A12" s="14" t="s">
        <v>29</v>
      </c>
      <c r="B12" s="19" t="e">
        <f>(B10/B3)</f>
        <v>#DIV/0!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D2" sqref="D2"/>
    </sheetView>
  </sheetViews>
  <sheetFormatPr baseColWidth="10" defaultColWidth="8.83203125" defaultRowHeight="19" x14ac:dyDescent="0.2"/>
  <cols>
    <col min="1" max="1" width="21" style="7" customWidth="1"/>
    <col min="2" max="2" width="53.1640625" style="7" customWidth="1"/>
    <col min="3" max="3" width="21.33203125" style="10" customWidth="1"/>
    <col min="4" max="4" width="26" style="11" customWidth="1"/>
    <col min="5" max="5" width="28.1640625" style="7" customWidth="1"/>
    <col min="6" max="16384" width="8.83203125" style="7"/>
  </cols>
  <sheetData>
    <row r="1" spans="1:5" s="24" customFormat="1" ht="21" x14ac:dyDescent="0.2">
      <c r="A1" s="22" t="s">
        <v>1</v>
      </c>
      <c r="B1" s="22" t="s">
        <v>2</v>
      </c>
      <c r="C1" s="23" t="s">
        <v>23</v>
      </c>
      <c r="D1" s="25" t="s">
        <v>24</v>
      </c>
      <c r="E1" s="63"/>
    </row>
    <row r="2" spans="1:5" x14ac:dyDescent="0.2">
      <c r="A2" s="8"/>
      <c r="B2" s="9"/>
    </row>
    <row r="3" spans="1:5" x14ac:dyDescent="0.2">
      <c r="A3" s="8"/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A2" sqref="A2:F13"/>
    </sheetView>
  </sheetViews>
  <sheetFormatPr baseColWidth="10" defaultColWidth="8.83203125" defaultRowHeight="19" x14ac:dyDescent="0.25"/>
  <cols>
    <col min="1" max="1" width="16" style="1" customWidth="1"/>
    <col min="2" max="2" width="20.5" style="1" customWidth="1"/>
    <col min="3" max="3" width="33.1640625" style="1" customWidth="1"/>
    <col min="4" max="4" width="40.33203125" style="1" customWidth="1"/>
    <col min="5" max="5" width="14" style="2" customWidth="1"/>
    <col min="6" max="6" width="53" style="1" customWidth="1"/>
    <col min="7" max="8" width="13.6640625" style="1" customWidth="1"/>
    <col min="9" max="16384" width="8.83203125" style="1"/>
  </cols>
  <sheetData>
    <row r="1" spans="1:7" s="26" customFormat="1" ht="21" x14ac:dyDescent="0.2">
      <c r="A1" s="20" t="s">
        <v>5</v>
      </c>
      <c r="B1" s="20" t="s">
        <v>6</v>
      </c>
      <c r="C1" s="20" t="s">
        <v>7</v>
      </c>
      <c r="D1" s="20" t="s">
        <v>8</v>
      </c>
      <c r="E1" s="21" t="s">
        <v>25</v>
      </c>
      <c r="F1" s="20" t="s">
        <v>0</v>
      </c>
      <c r="G1" s="20" t="s">
        <v>9</v>
      </c>
    </row>
    <row r="2" spans="1:7" x14ac:dyDescent="0.25">
      <c r="A2" s="5"/>
      <c r="B2" s="4"/>
      <c r="C2" s="4"/>
      <c r="D2" s="4"/>
      <c r="E2" s="6"/>
      <c r="F2" s="4"/>
      <c r="G2" s="6">
        <f>SUM(E2:E10)</f>
        <v>0</v>
      </c>
    </row>
    <row r="3" spans="1:7" x14ac:dyDescent="0.25">
      <c r="A3" s="5"/>
      <c r="B3" s="4"/>
      <c r="C3" s="4"/>
      <c r="D3" s="4"/>
      <c r="E3" s="6"/>
      <c r="F3" s="4"/>
      <c r="G3" s="4"/>
    </row>
    <row r="4" spans="1:7" x14ac:dyDescent="0.25">
      <c r="A4" s="5"/>
      <c r="B4" s="4"/>
      <c r="C4" s="4"/>
      <c r="D4" s="4"/>
      <c r="E4" s="6"/>
      <c r="F4" s="4"/>
      <c r="G4" s="4"/>
    </row>
    <row r="5" spans="1:7" x14ac:dyDescent="0.25">
      <c r="A5" s="5"/>
      <c r="B5" s="4"/>
      <c r="C5" s="12"/>
      <c r="D5" s="4"/>
      <c r="E5" s="6"/>
      <c r="F5" s="4"/>
      <c r="G5" s="4"/>
    </row>
    <row r="6" spans="1:7" x14ac:dyDescent="0.25">
      <c r="A6" s="5"/>
      <c r="B6" s="4"/>
      <c r="C6" s="4"/>
      <c r="D6" s="4"/>
      <c r="E6" s="13"/>
      <c r="F6" s="4"/>
      <c r="G6" s="4"/>
    </row>
    <row r="7" spans="1:7" x14ac:dyDescent="0.25">
      <c r="A7" s="5"/>
      <c r="B7" s="4"/>
      <c r="C7" s="4"/>
      <c r="D7" s="4"/>
      <c r="E7" s="6"/>
      <c r="F7" s="4"/>
      <c r="G7" s="4"/>
    </row>
    <row r="8" spans="1:7" x14ac:dyDescent="0.25">
      <c r="A8" s="4"/>
      <c r="B8" s="4"/>
      <c r="C8" s="4"/>
      <c r="D8" s="4"/>
      <c r="E8" s="6"/>
      <c r="F8" s="4"/>
      <c r="G8" s="4"/>
    </row>
    <row r="9" spans="1:7" x14ac:dyDescent="0.25">
      <c r="A9" s="4"/>
      <c r="B9" s="4"/>
      <c r="C9" s="4"/>
      <c r="D9" s="4"/>
      <c r="E9" s="6"/>
      <c r="F9" s="4"/>
      <c r="G9" s="4"/>
    </row>
    <row r="10" spans="1:7" x14ac:dyDescent="0.25">
      <c r="A10" s="4"/>
      <c r="B10" s="4"/>
      <c r="C10" s="4"/>
      <c r="D10" s="4"/>
      <c r="E10" s="6"/>
      <c r="F10" s="4"/>
      <c r="G10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D3B0-A098-8248-9A91-D0FDD0C1B522}">
  <dimension ref="A1"/>
  <sheetViews>
    <sheetView topLeftCell="A8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Weekly Info</vt:lpstr>
      <vt:lpstr>Event_PnL</vt:lpstr>
      <vt:lpstr>Weekly Summary</vt:lpstr>
      <vt:lpstr>Labor</vt:lpstr>
      <vt:lpstr>Invoices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2026-03-08T21:37:14Z</dcterms:created>
  <dcterms:modified xsi:type="dcterms:W3CDTF">2026-03-18T05:09:42Z</dcterms:modified>
</cp:coreProperties>
</file>